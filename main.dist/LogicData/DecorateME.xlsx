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codeName="ThisWorkbook"/>
  <mc:AlternateContent xmlns:mc="http://schemas.openxmlformats.org/markup-compatibility/2006">
    <mc:Choice Requires="x15">
      <x15ac:absPath xmlns:x15ac="http://schemas.microsoft.com/office/spreadsheetml/2010/11/ac" url="D:\pythonProject\Quotation\LogicData\"/>
    </mc:Choice>
  </mc:AlternateContent>
  <xr:revisionPtr revIDLastSave="0" documentId="13_ncr:1_{C77C4752-E7E6-4D16-8B25-2B03CC978124}" xr6:coauthVersionLast="36" xr6:coauthVersionMax="36" xr10:uidLastSave="{00000000-0000-0000-0000-000000000000}"/>
  <bookViews>
    <workbookView xWindow="0" yWindow="0" windowWidth="19640" windowHeight="7490" xr2:uid="{00000000-000D-0000-FFFF-FFFF00000000}"/>
  </bookViews>
  <sheets>
    <sheet name="MP NRE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___" localSheetId="0">#REF!</definedName>
    <definedName name="__123Graph_ABAL" localSheetId="0" hidden="1">#REF!</definedName>
    <definedName name="__123Graph_LBL_ABAL" localSheetId="0" hidden="1">#REF!</definedName>
    <definedName name="__123Graph_XBAL" localSheetId="0" hidden="1">#REF!</definedName>
    <definedName name="_1_10_7278" localSheetId="0">#REF!</definedName>
    <definedName name="_10_1001701_7278" localSheetId="0">#REF!</definedName>
    <definedName name="_11_14_7278" localSheetId="0">#REF!</definedName>
    <definedName name="_12_43_7278" localSheetId="0">#REF!</definedName>
    <definedName name="_13_1001139_7278" localSheetId="0">#REF!</definedName>
    <definedName name="_14_1001138_7278" localSheetId="0">#REF!</definedName>
    <definedName name="_15_26_7278" localSheetId="0">#REF!</definedName>
    <definedName name="_16_25_7278" localSheetId="0">#REF!</definedName>
    <definedName name="_17_27_7278" localSheetId="0">#REF!</definedName>
    <definedName name="_18_28_7278" localSheetId="0">#REF!</definedName>
    <definedName name="_19_429_7278" localSheetId="0">#REF!</definedName>
    <definedName name="_1K1_" hidden="1">{#N/A,#N/A,FALSE,"Sheet1"}</definedName>
    <definedName name="_2_239_7278" localSheetId="0">#REF!</definedName>
    <definedName name="_20_430_7278" localSheetId="0">#REF!</definedName>
    <definedName name="_21_1000183_7278" localSheetId="0">#REF!</definedName>
    <definedName name="_22_203_7278" localSheetId="0">#REF!</definedName>
    <definedName name="_23_96_7278" localSheetId="0">#REF!</definedName>
    <definedName name="_24_97_7278" localSheetId="0">#REF!</definedName>
    <definedName name="_25_201_7278" localSheetId="0">#REF!</definedName>
    <definedName name="_26_242_7278" localSheetId="0">#REF!</definedName>
    <definedName name="_27_414_7278" localSheetId="0">#REF!</definedName>
    <definedName name="_28_434_7278" localSheetId="0">#REF!</definedName>
    <definedName name="_29_199_7278" localSheetId="0">#REF!</definedName>
    <definedName name="_3_433_7278" localSheetId="0">#REF!</definedName>
    <definedName name="_3_Jan" localSheetId="0">#REF!</definedName>
    <definedName name="_30_16_7278" localSheetId="0">#REF!</definedName>
    <definedName name="_30_Aug" localSheetId="0">#REF!</definedName>
    <definedName name="_4_11_7278" localSheetId="0">#REF!</definedName>
    <definedName name="_5_42_7278" localSheetId="0">#REF!</definedName>
    <definedName name="_6_241_7278" localSheetId="0">#REF!</definedName>
    <definedName name="_7_38_7278" localSheetId="0">#REF!</definedName>
    <definedName name="_8_39_7278" localSheetId="0">#REF!</definedName>
    <definedName name="_9_16_7278" localSheetId="0">#REF!</definedName>
    <definedName name="_Fill" localSheetId="0" hidden="1">#REF!</definedName>
    <definedName name="_Fill." localSheetId="0" hidden="1">#REF!</definedName>
    <definedName name="_xlnm._FilterDatabase" localSheetId="0" hidden="1">'MP NRE'!$A$2:$Z$4</definedName>
    <definedName name="_Key1" localSheetId="0" hidden="1">#REF!</definedName>
    <definedName name="_Key1." localSheetId="0" hidden="1">#REF!</definedName>
    <definedName name="_Key2" localSheetId="0" hidden="1">#REF!</definedName>
    <definedName name="_Key2." localSheetId="0" hidden="1">#REF!</definedName>
    <definedName name="_Order1" hidden="1">255</definedName>
    <definedName name="_Order2" hidden="1">0</definedName>
    <definedName name="_Parse_Out" localSheetId="0" hidden="1">'[1]Price List'!#REF!</definedName>
    <definedName name="_R65763" localSheetId="0">#REF!</definedName>
    <definedName name="_R65789" localSheetId="0">#REF!</definedName>
    <definedName name="_R68720" localSheetId="0">#REF!</definedName>
    <definedName name="_RJ11" localSheetId="0">#REF!</definedName>
    <definedName name="_Sort" localSheetId="0" hidden="1">#REF!</definedName>
    <definedName name="ab" hidden="1">[2]Sheet1!#REF!</definedName>
    <definedName name="ac" hidden="1">[2]OT!#REF!</definedName>
    <definedName name="ad" localSheetId="0" hidden="1">#REF!</definedName>
    <definedName name="AFill" hidden="1">[3]IA1!$E$7:$W$7</definedName>
    <definedName name="Ardbeg_Info" localSheetId="0">#REF!</definedName>
    <definedName name="attachment1" localSheetId="0">#REF!</definedName>
    <definedName name="attachment2" localSheetId="0">#REF!</definedName>
    <definedName name="AU" hidden="1">{"'sheet(22) (22)'!$A$64:$K$79"}</definedName>
    <definedName name="BM">'[4]choose list'!$A$2:$A$16</definedName>
    <definedName name="body1" localSheetId="0">#REF!</definedName>
    <definedName name="bom_smt_3" localSheetId="0">#REF!</definedName>
    <definedName name="Brew_mech" localSheetId="0">#REF!</definedName>
    <definedName name="Carol" hidden="1">{#N/A,#N/A,FALSE,"Sheet1"}</definedName>
    <definedName name="Carry" localSheetId="0">#REF!</definedName>
    <definedName name="Carry_1" localSheetId="0">'[5]8866-960001-02'!#REF!</definedName>
    <definedName name="Classification" localSheetId="0">[6]Severity!$A$15:$A$17</definedName>
    <definedName name="ComponentType">'[7]Final Sheet'!#REF!</definedName>
    <definedName name="csDesignMode">1</definedName>
    <definedName name="da" localSheetId="0" hidden="1">#REF!</definedName>
    <definedName name="DATA1">[8]Sheet1!$A$2:$A$28725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5">#REF!</definedName>
    <definedName name="_xlnm.Database" localSheetId="0">#REF!</definedName>
    <definedName name="DateFG0">'[9]Act Built'!$A$2:$IV$2</definedName>
    <definedName name="de3f2" hidden="1">{#N/A,#N/A,FALSE,"Sheet1"}</definedName>
    <definedName name="demand">[10]Combined!$A$6:$AU$94</definedName>
    <definedName name="Detection_1" localSheetId="0">'[6]Detection &amp; Prevention'!$E$4:$E$14</definedName>
    <definedName name="ds" localSheetId="0" hidden="1">#REF!</definedName>
    <definedName name="ED" hidden="1">{"'sheet(22) (22)'!$A$64:$K$79"}</definedName>
    <definedName name="EO_Mech" localSheetId="0">#REF!</definedName>
    <definedName name="erase" hidden="1">[2]Sheet1!$E$39:$E$43</definedName>
    <definedName name="eraseme" hidden="1">[2]Sheet1!#REF!</definedName>
    <definedName name="Exchange_rate" localSheetId="0">#REF!</definedName>
    <definedName name="Factor" localSheetId="0">#REF!</definedName>
    <definedName name="fdsfsdfdsf" hidden="1">'[11]Issues List'!#REF!</definedName>
    <definedName name="Fecha" localSheetId="0">#REF!</definedName>
    <definedName name="FINALIZED_PRINT_AREA" localSheetId="0">#REF!</definedName>
    <definedName name="formfactor">'[4]choose list'!$B$2:$B$32</definedName>
    <definedName name="Fremont">'[12]Reschedule-Reconfirm'!$A$64:$A$65</definedName>
    <definedName name="frfrgw" hidden="1">{#N/A,#N/A,FALSE,"Sheet1"}</definedName>
    <definedName name="FRU" localSheetId="0">#REF!</definedName>
    <definedName name="Generate_Forecast_Feed_for_Date" localSheetId="0">#REF!</definedName>
    <definedName name="Generate_Request_Feed_for_Date" localSheetId="0">#REF!</definedName>
    <definedName name="Glen_Ord_Info" localSheetId="0">#REF!</definedName>
    <definedName name="Header_Codes" localSheetId="0">#REF!</definedName>
    <definedName name="hhjhh" hidden="1">'[11]Issues List'!#REF!</definedName>
    <definedName name="HTML_CodePage" hidden="1">950</definedName>
    <definedName name="HTML_Control" hidden="1">{"'MODIFY &amp; REPARE '!$B$1:$S$27"}</definedName>
    <definedName name="HTML_Description" hidden="1">""</definedName>
    <definedName name="HTML_Email" hidden="1">""</definedName>
    <definedName name="HTML_Header" hidden="1">""</definedName>
    <definedName name="HTML_LastUpdate" hidden="1">"1999/3/11"</definedName>
    <definedName name="HTML_LineAfter" hidden="1">FALSE</definedName>
    <definedName name="HTML_LineBefore" hidden="1">FALSE</definedName>
    <definedName name="HTML_Name" hidden="1">"Akina Chih"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"\\Akina\M1I5\HTML\schedule\tifa.htm"</definedName>
    <definedName name="HTML_PathTemplate" hidden="1">"C:\WEBSHARE\WWWROOT\Compal\DELL\TWISTER\Packing\Cosmetic\dellpctwd.htm"</definedName>
    <definedName name="HTML_Title" hidden="1">""</definedName>
    <definedName name="HTML1_1" hidden="1">"'[anly9705.xls]EM02'!$A$1:$H$38"</definedName>
    <definedName name="HTML1_10" hidden="1">""</definedName>
    <definedName name="HTML1_11" hidden="1">1</definedName>
    <definedName name="HTML1_12" hidden="1">"C:\My Documents\MyHTML.htm"</definedName>
    <definedName name="HTML1_2" hidden="1">1</definedName>
    <definedName name="HTML1_3" hidden="1">"anly9705"</definedName>
    <definedName name="HTML1_4" hidden="1">"EM02"</definedName>
    <definedName name="HTML1_5" hidden="1">""</definedName>
    <definedName name="HTML1_6" hidden="1">-4146</definedName>
    <definedName name="HTML1_7" hidden="1">-4146</definedName>
    <definedName name="HTML1_8" hidden="1">"1997/7/7"</definedName>
    <definedName name="HTML1_9" hidden="1">"mis1"</definedName>
    <definedName name="HTMLCount" hidden="1">1</definedName>
    <definedName name="IA" hidden="1">[13]IA1!$D$7:$N$7</definedName>
    <definedName name="Jason" localSheetId="0">#REF!</definedName>
    <definedName name="JEFF" localSheetId="0">#REF!</definedName>
    <definedName name="jkjij" hidden="1">'[11]Issues List'!#REF!</definedName>
    <definedName name="k" hidden="1">{#N/A,#N/A,FALSE,"Sheet1"}</definedName>
    <definedName name="Keyboard" localSheetId="0">#REF!</definedName>
    <definedName name="Language_Keyboards" localSheetId="0">#REF!</definedName>
    <definedName name="Line_Cord" localSheetId="0">#REF!</definedName>
    <definedName name="liteon" localSheetId="0" hidden="1">#REF!</definedName>
    <definedName name="lkpokop" hidden="1">{#N/A,#N/A,FALSE,"Sheet1"}</definedName>
    <definedName name="Memory" localSheetId="0">#REF!</definedName>
    <definedName name="Modem" localSheetId="0">#REF!</definedName>
    <definedName name="Motherboard" localSheetId="0">#REF!</definedName>
    <definedName name="NBD">'[14]choose list'!$G$2:$G$4</definedName>
    <definedName name="OB" localSheetId="0">#REF!</definedName>
    <definedName name="OBCDDDD" localSheetId="0">#REF!</definedName>
    <definedName name="Occurrence_1" localSheetId="0">[6]Occurrence!$F$4:$F$14</definedName>
    <definedName name="Odyssey_Memory" localSheetId="0">#REF!</definedName>
    <definedName name="Odyssey_Optical_Drives" localSheetId="0">#REF!</definedName>
    <definedName name="olj" hidden="1">{#N/A,#N/A,FALSE,"Sheet1"}</definedName>
    <definedName name="Operator" localSheetId="0">#REF!</definedName>
    <definedName name="Optical" localSheetId="0">#REF!</definedName>
    <definedName name="OXM">'[4]choose list'!$E$2:$E$5</definedName>
    <definedName name="part" hidden="1">'[15]Issues List'!#REF!</definedName>
    <definedName name="Parts_Specific_to_Brewster" localSheetId="0">#REF!</definedName>
    <definedName name="Parts_Specific_to_Eastham_and_Orleans" localSheetId="0">#REF!</definedName>
    <definedName name="Pla" hidden="1">'[16]Issues List'!#REF!</definedName>
    <definedName name="Planar" localSheetId="0">#REF!</definedName>
    <definedName name="Power_Brick" localSheetId="0">#REF!</definedName>
    <definedName name="Power_Cord" localSheetId="0">#REF!</definedName>
    <definedName name="_xlnm.Print_Area" localSheetId="0">#REF!</definedName>
    <definedName name="Print_Jeff" localSheetId="0">#REF!</definedName>
    <definedName name="PRINTAREA" localSheetId="0">#REF!</definedName>
    <definedName name="Reas">'[17]Reschedule-Reconfirm'!$A$68:$A$81</definedName>
    <definedName name="RJ11_Connectors" localSheetId="0">#REF!</definedName>
    <definedName name="rngxl2" localSheetId="0">#REF!</definedName>
    <definedName name="segfdfhgf" hidden="1">'[18]Issues List'!#REF!</definedName>
    <definedName name="Severity_1" localSheetId="0">[6]Severity!$D$4:$D$14</definedName>
    <definedName name="SMT_A2" localSheetId="0">#REF!</definedName>
    <definedName name="SMT_A2_1" localSheetId="0">'[5]8866-960001-02'!#REF!</definedName>
    <definedName name="SMT_G" localSheetId="0">#REF!</definedName>
    <definedName name="SMT_G_1" localSheetId="0">'[5]8866-960001-02'!#REF!</definedName>
    <definedName name="SMT_H" localSheetId="0">#REF!</definedName>
    <definedName name="SMT_H_1" localSheetId="0">'[5]8866-960001-02'!#REF!</definedName>
    <definedName name="SMT_JQR線" localSheetId="0">#REF!</definedName>
    <definedName name="SMT_JQR線_1" localSheetId="0">'[5]8866-960001-02'!#REF!</definedName>
    <definedName name="SMT_KA1" localSheetId="0">#REF!</definedName>
    <definedName name="SMT_KA1_1" localSheetId="0">'[5]8866-960001-02'!#REF!</definedName>
    <definedName name="SMT_L11" localSheetId="0">#REF!</definedName>
    <definedName name="SMT_L11_1" localSheetId="0">'[5]8866-960001-02'!#REF!</definedName>
    <definedName name="SMT_MN" localSheetId="0">#REF!</definedName>
    <definedName name="SMT_MN_1" localSheetId="0">'[5]8866-960001-02'!#REF!</definedName>
    <definedName name="SMT_零_件_總_數" localSheetId="0">#REF!</definedName>
    <definedName name="Soft_Modem" localSheetId="0">#REF!</definedName>
    <definedName name="Speakers" localSheetId="0">#REF!</definedName>
    <definedName name="Speyburn2_Info" localSheetId="0">#REF!</definedName>
    <definedName name="ss" localSheetId="0">#REF!</definedName>
    <definedName name="ssci_with_pending" localSheetId="0">#REF!</definedName>
    <definedName name="status">'[4]choose list'!$F$2:$F$5</definedName>
    <definedName name="Stewart2" localSheetId="0">#REF!</definedName>
    <definedName name="TableName">"Dummy"</definedName>
    <definedName name="technology">'[4]choose list'!$C$2:$C$17</definedName>
    <definedName name="Tormore_Info" localSheetId="0">#REF!</definedName>
    <definedName name="TP">'[4]choose list'!$D$2:$D$19</definedName>
    <definedName name="User">'[17]Reschedule-Reconfirm'!$A$64:$A$65</definedName>
    <definedName name="USI" localSheetId="0">#REF!</definedName>
    <definedName name="w" localSheetId="0" hidden="1">#REF!</definedName>
    <definedName name="wq" localSheetId="0">#REF!</definedName>
    <definedName name="wrn.Cisco._.EFA._.Handout." hidden="1">{#N/A,#N/A,TRUE,"Cover";#N/A,#N/A,TRUE,"Service Report";#N/A,#N/A,TRUE,"Overall";#N/A,#N/A,TRUE,"Overall Trend";#N/A,#N/A,TRUE,"3600";#N/A,#N/A,TRUE,"2600";#N/A,#N/A,TRUE,"1700";#N/A,#N/A,TRUE,"1600";#N/A,#N/A,TRUE,"1000";#N/A,#N/A,TRUE,"800";#N/A,#N/A,TRUE,"NM &amp; WICs";#N/A,#N/A,TRUE,"Rev History";#N/A,#N/A,TRUE,"Data key";#N/A,#N/A,TRUE,"Special Detail"}</definedName>
    <definedName name="wrn.test." hidden="1">{#N/A,#N/A,FALSE,"Sheet1"}</definedName>
    <definedName name="Z_06685B21_AA05_11D2_AA72_00C04FCC440D_.wvu.Cols" localSheetId="0" hidden="1">#REF!</definedName>
    <definedName name="Z_06685B21_AA05_11D2_AA72_00C04FCC440D_.wvu.PrintArea" localSheetId="0" hidden="1">#REF!</definedName>
    <definedName name="Z_06685B21_AA05_11D2_AA72_00C04FCC440D_.wvu.Rows" localSheetId="0" hidden="1">#REF!</definedName>
    <definedName name="插件單元工時一覽表" localSheetId="0">#REF!</definedName>
    <definedName name="得" hidden="1">{"'sheet(22) (22)'!$A$64:$K$79"}</definedName>
    <definedName name="紅膠點膠數量" localSheetId="0">#REF!</definedName>
    <definedName name="紅膠點膠數量_1" localSheetId="0">'[5]8866-960001-02'!#REF!</definedName>
    <definedName name="裂片數" localSheetId="0">#REF!</definedName>
    <definedName name="正背面點膠點數" localSheetId="0">#REF!</definedName>
    <definedName name="正背面點膠點數_1" localSheetId="0">'[5]8866-960001-02'!#REF!</definedName>
  </definedNames>
  <calcPr calcId="191029"/>
</workbook>
</file>

<file path=xl/calcChain.xml><?xml version="1.0" encoding="utf-8"?>
<calcChain xmlns="http://schemas.openxmlformats.org/spreadsheetml/2006/main">
  <c r="L3" i="1" l="1"/>
  <c r="F5" i="1" l="1"/>
  <c r="W3" i="1"/>
  <c r="W4" i="1" s="1"/>
  <c r="S3" i="1"/>
  <c r="S4" i="1" s="1"/>
  <c r="P3" i="1"/>
  <c r="X3" i="1" s="1"/>
  <c r="Y3" i="1" s="1"/>
  <c r="L4" i="1"/>
  <c r="I3" i="1"/>
  <c r="I4" i="1" s="1"/>
  <c r="F6" i="1" l="1"/>
  <c r="P4" i="1"/>
  <c r="X4" i="1" l="1"/>
  <c r="Y4" i="1"/>
</calcChain>
</file>

<file path=xl/sharedStrings.xml><?xml version="1.0" encoding="utf-8"?>
<sst xmlns="http://schemas.openxmlformats.org/spreadsheetml/2006/main" count="35" uniqueCount="23">
  <si>
    <t>Stencil</t>
  </si>
  <si>
    <t>Wave Solder Carrier</t>
  </si>
  <si>
    <t>Other Fixture</t>
  </si>
  <si>
    <r>
      <rPr>
        <b/>
        <sz val="12"/>
        <rFont val="Calibri"/>
        <family val="2"/>
      </rPr>
      <t xml:space="preserve">Estimated FCT Fixture
</t>
    </r>
    <r>
      <rPr>
        <b/>
        <sz val="12"/>
        <color rgb="FFFF0000"/>
        <rFont val="Calibri"/>
        <family val="2"/>
      </rPr>
      <t>(Sugon consigned CPU,CPU FAN,PSU, Cable &amp; subsystem)</t>
    </r>
  </si>
  <si>
    <t>Project Name</t>
  </si>
  <si>
    <t>Pcs/Panel</t>
  </si>
  <si>
    <t>Size ()</t>
  </si>
  <si>
    <t>Monthly FCST</t>
  </si>
  <si>
    <t>Qty.</t>
  </si>
  <si>
    <t>U/P (RMB)</t>
  </si>
  <si>
    <t>Amt. (RMB)</t>
  </si>
  <si>
    <t>Testing Time (s)</t>
  </si>
  <si>
    <r>
      <rPr>
        <b/>
        <sz val="12"/>
        <rFont val="宋体"/>
        <family val="3"/>
        <charset val="134"/>
      </rPr>
      <t>未税</t>
    </r>
    <r>
      <rPr>
        <b/>
        <sz val="12"/>
        <rFont val="Calibri"/>
        <family val="2"/>
      </rPr>
      <t>Total</t>
    </r>
  </si>
  <si>
    <r>
      <rPr>
        <b/>
        <sz val="12"/>
        <rFont val="宋体"/>
        <family val="3"/>
        <charset val="134"/>
      </rPr>
      <t>含税</t>
    </r>
    <r>
      <rPr>
        <b/>
        <sz val="12"/>
        <rFont val="Calibri"/>
        <family val="2"/>
      </rPr>
      <t>Total</t>
    </r>
  </si>
  <si>
    <t>SH7569ABA*Front*BP1*主供*V2*PCBA</t>
  </si>
  <si>
    <t>241.65 *39 *2.4</t>
  </si>
  <si>
    <t>--</t>
  </si>
  <si>
    <t>定制化液冷模组</t>
  </si>
  <si>
    <t>Routing</t>
  </si>
  <si>
    <t>1</t>
  </si>
  <si>
    <t>ICT Fixture</t>
    <phoneticPr fontId="16" type="noConversion"/>
  </si>
  <si>
    <t>Qty.</t>
    <phoneticPr fontId="16" type="noConversion"/>
  </si>
  <si>
    <t>SMT Carrier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</si>
</sst>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 * #,##0.00_ ;_ * \-#,##0.00_ ;_ * &quot;-&quot;??_ ;_ @_ "/>
    <numFmt numFmtId="176" formatCode="#,##0_);[Red]\(#,##0\)"/>
    <numFmt numFmtId="177" formatCode="_-* #,##0_-;\-* #,##0_-;_-* &quot;-&quot;??_-;_-@_-"/>
  </numFmts>
  <fonts count="17" x14ac:knownFonts="1">
    <font>
      <sz val="11"/>
      <color theme="1"/>
      <name val="宋体"/>
      <charset val="134"/>
      <scheme val="minor"/>
    </font>
    <font>
      <sz val="12"/>
      <name val="Calibri"/>
      <family val="2"/>
    </font>
    <font>
      <sz val="10"/>
      <name val="Calibri"/>
      <family val="2"/>
    </font>
    <font>
      <b/>
      <sz val="16"/>
      <color rgb="FFFF0000"/>
      <name val="Calibri"/>
      <family val="2"/>
    </font>
    <font>
      <sz val="16"/>
      <color rgb="FFFF0000"/>
      <name val="Calibri"/>
      <family val="2"/>
    </font>
    <font>
      <b/>
      <sz val="12"/>
      <name val="Calibri"/>
      <family val="2"/>
    </font>
    <font>
      <b/>
      <sz val="12"/>
      <name val="宋体"/>
      <family val="3"/>
      <charset val="134"/>
    </font>
    <font>
      <sz val="12.5"/>
      <name val="Calibri"/>
      <family val="2"/>
    </font>
    <font>
      <sz val="10"/>
      <color rgb="FF000000"/>
      <name val="Calibri"/>
      <family val="2"/>
    </font>
    <font>
      <b/>
      <sz val="10"/>
      <name val="Calibri"/>
      <family val="2"/>
    </font>
    <font>
      <sz val="10"/>
      <name val="宋体"/>
      <family val="3"/>
      <charset val="134"/>
    </font>
    <font>
      <b/>
      <u/>
      <sz val="12"/>
      <name val="Calibri"/>
      <family val="2"/>
    </font>
    <font>
      <sz val="12"/>
      <name val="新細明體"/>
      <charset val="134"/>
    </font>
    <font>
      <sz val="10"/>
      <name val="Arial"/>
      <family val="2"/>
    </font>
    <font>
      <sz val="12"/>
      <color theme="1"/>
      <name val="宋体"/>
      <family val="3"/>
      <charset val="134"/>
      <scheme val="minor"/>
    </font>
    <font>
      <b/>
      <sz val="12"/>
      <color rgb="FFFF0000"/>
      <name val="Calibri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>
      <alignment vertical="center"/>
    </xf>
    <xf numFmtId="0" fontId="12" fillId="0" borderId="0">
      <alignment vertical="center"/>
    </xf>
    <xf numFmtId="0" fontId="13" fillId="0" borderId="0"/>
    <xf numFmtId="0" fontId="12" fillId="0" borderId="0">
      <alignment vertical="center"/>
    </xf>
    <xf numFmtId="0" fontId="12" fillId="0" borderId="0">
      <alignment vertical="center"/>
    </xf>
    <xf numFmtId="0" fontId="14" fillId="0" borderId="0">
      <alignment vertical="center"/>
    </xf>
    <xf numFmtId="0" fontId="12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1" applyFont="1" applyFill="1" applyAlignment="1">
      <alignment vertical="center" wrapText="1"/>
    </xf>
    <xf numFmtId="0" fontId="2" fillId="0" borderId="0" xfId="1" applyFont="1" applyFill="1" applyAlignment="1">
      <alignment vertical="center"/>
    </xf>
    <xf numFmtId="0" fontId="1" fillId="0" borderId="0" xfId="1" applyFont="1" applyFill="1" applyAlignment="1">
      <alignment vertical="center"/>
    </xf>
    <xf numFmtId="0" fontId="1" fillId="0" borderId="0" xfId="1" applyFont="1" applyFill="1" applyAlignment="1">
      <alignment horizontal="left" vertical="center"/>
    </xf>
    <xf numFmtId="0" fontId="1" fillId="0" borderId="0" xfId="1" applyFont="1" applyFill="1" applyAlignment="1">
      <alignment horizontal="center" vertical="center"/>
    </xf>
    <xf numFmtId="38" fontId="1" fillId="0" borderId="0" xfId="1" applyNumberFormat="1" applyFont="1" applyFill="1" applyAlignment="1">
      <alignment horizontal="center" vertical="center"/>
    </xf>
    <xf numFmtId="38" fontId="1" fillId="0" borderId="0" xfId="1" applyNumberFormat="1" applyFont="1" applyFill="1" applyAlignment="1">
      <alignment vertical="center"/>
    </xf>
    <xf numFmtId="40" fontId="1" fillId="0" borderId="0" xfId="1" applyNumberFormat="1" applyFont="1" applyFill="1" applyAlignment="1">
      <alignment vertical="center"/>
    </xf>
    <xf numFmtId="0" fontId="5" fillId="2" borderId="8" xfId="1" applyFont="1" applyFill="1" applyBorder="1" applyAlignment="1">
      <alignment horizontal="center" vertical="center" wrapText="1"/>
    </xf>
    <xf numFmtId="40" fontId="1" fillId="0" borderId="0" xfId="1" applyNumberFormat="1" applyFont="1" applyFill="1" applyBorder="1" applyAlignment="1">
      <alignment vertical="center"/>
    </xf>
    <xf numFmtId="0" fontId="1" fillId="0" borderId="0" xfId="1" applyFont="1" applyFill="1" applyAlignment="1">
      <alignment horizontal="left" vertical="center" wrapText="1"/>
    </xf>
    <xf numFmtId="0" fontId="5" fillId="0" borderId="8" xfId="2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 vertical="center" wrapText="1"/>
    </xf>
    <xf numFmtId="0" fontId="5" fillId="0" borderId="5" xfId="1" applyFont="1" applyFill="1" applyBorder="1" applyAlignment="1">
      <alignment horizontal="center" vertical="center" wrapText="1"/>
    </xf>
    <xf numFmtId="0" fontId="5" fillId="0" borderId="6" xfId="1" applyFont="1" applyFill="1" applyBorder="1" applyAlignment="1">
      <alignment horizontal="center" vertical="center" wrapText="1"/>
    </xf>
    <xf numFmtId="0" fontId="5" fillId="0" borderId="7" xfId="1" applyFont="1" applyFill="1" applyBorder="1" applyAlignment="1">
      <alignment horizontal="center" vertical="center" wrapText="1"/>
    </xf>
    <xf numFmtId="0" fontId="5" fillId="0" borderId="8" xfId="1" applyFont="1" applyFill="1" applyBorder="1" applyAlignment="1">
      <alignment horizontal="center" vertical="center" wrapText="1"/>
    </xf>
    <xf numFmtId="38" fontId="5" fillId="0" borderId="3" xfId="1" applyNumberFormat="1" applyFont="1" applyFill="1" applyBorder="1" applyAlignment="1">
      <alignment horizontal="center" vertical="center" wrapText="1"/>
    </xf>
    <xf numFmtId="38" fontId="5" fillId="0" borderId="4" xfId="1" applyNumberFormat="1" applyFont="1" applyFill="1" applyBorder="1" applyAlignment="1">
      <alignment horizontal="center" vertical="center" wrapText="1"/>
    </xf>
    <xf numFmtId="38" fontId="5" fillId="0" borderId="6" xfId="1" applyNumberFormat="1" applyFont="1" applyFill="1" applyBorder="1" applyAlignment="1">
      <alignment horizontal="center" vertical="center" wrapText="1"/>
    </xf>
    <xf numFmtId="38" fontId="5" fillId="0" borderId="13" xfId="1" applyNumberFormat="1" applyFont="1" applyFill="1" applyBorder="1" applyAlignment="1">
      <alignment horizontal="center" vertical="center" wrapText="1"/>
    </xf>
    <xf numFmtId="40" fontId="6" fillId="0" borderId="12" xfId="1" applyNumberFormat="1" applyFont="1" applyFill="1" applyBorder="1" applyAlignment="1">
      <alignment horizontal="center" vertical="center" wrapText="1"/>
    </xf>
    <xf numFmtId="0" fontId="2" fillId="0" borderId="0" xfId="1" applyFont="1" applyFill="1" applyAlignment="1">
      <alignment horizontal="left" vertical="center"/>
    </xf>
    <xf numFmtId="0" fontId="2" fillId="0" borderId="14" xfId="3" applyNumberFormat="1" applyFont="1" applyFill="1" applyBorder="1" applyAlignment="1">
      <alignment horizontal="left" vertical="center"/>
    </xf>
    <xf numFmtId="0" fontId="7" fillId="0" borderId="14" xfId="2" applyFont="1" applyFill="1" applyBorder="1" applyAlignment="1">
      <alignment horizontal="center" vertical="center"/>
    </xf>
    <xf numFmtId="0" fontId="8" fillId="0" borderId="14" xfId="0" applyFont="1" applyBorder="1">
      <alignment vertical="center"/>
    </xf>
    <xf numFmtId="38" fontId="7" fillId="0" borderId="14" xfId="2" applyNumberFormat="1" applyFont="1" applyFill="1" applyBorder="1" applyAlignment="1">
      <alignment horizontal="left" vertical="center"/>
    </xf>
    <xf numFmtId="38" fontId="2" fillId="0" borderId="14" xfId="4" applyNumberFormat="1" applyFont="1" applyBorder="1" applyAlignment="1">
      <alignment horizontal="center" vertical="center"/>
    </xf>
    <xf numFmtId="38" fontId="2" fillId="0" borderId="14" xfId="1" applyNumberFormat="1" applyFont="1" applyFill="1" applyBorder="1" applyAlignment="1">
      <alignment horizontal="center" vertical="center"/>
    </xf>
    <xf numFmtId="176" fontId="9" fillId="0" borderId="14" xfId="5" applyNumberFormat="1" applyFont="1" applyFill="1" applyBorder="1" applyAlignment="1">
      <alignment horizontal="left" vertical="center"/>
    </xf>
    <xf numFmtId="0" fontId="8" fillId="0" borderId="14" xfId="1" applyNumberFormat="1" applyFont="1" applyFill="1" applyBorder="1" applyAlignment="1">
      <alignment horizontal="center" vertical="center"/>
    </xf>
    <xf numFmtId="177" fontId="9" fillId="0" borderId="14" xfId="1" applyNumberFormat="1" applyFont="1" applyFill="1" applyBorder="1" applyAlignment="1">
      <alignment vertical="center"/>
    </xf>
    <xf numFmtId="177" fontId="2" fillId="0" borderId="14" xfId="1" applyNumberFormat="1" applyFont="1" applyFill="1" applyBorder="1" applyAlignment="1">
      <alignment vertical="center"/>
    </xf>
    <xf numFmtId="0" fontId="10" fillId="0" borderId="0" xfId="1" applyFont="1" applyFill="1" applyAlignment="1">
      <alignment vertical="center"/>
    </xf>
    <xf numFmtId="0" fontId="5" fillId="0" borderId="0" xfId="2" applyFont="1" applyFill="1" applyBorder="1" applyAlignment="1">
      <alignment horizontal="center" vertical="center" wrapText="1"/>
    </xf>
    <xf numFmtId="38" fontId="11" fillId="0" borderId="0" xfId="1" applyNumberFormat="1" applyFont="1" applyFill="1" applyBorder="1" applyAlignment="1">
      <alignment vertical="center"/>
    </xf>
    <xf numFmtId="43" fontId="1" fillId="0" borderId="0" xfId="1" applyNumberFormat="1" applyFont="1" applyFill="1" applyAlignment="1">
      <alignment vertical="center"/>
    </xf>
    <xf numFmtId="0" fontId="1" fillId="0" borderId="14" xfId="6" applyFont="1" applyFill="1" applyBorder="1" applyAlignment="1">
      <alignment vertical="center"/>
    </xf>
    <xf numFmtId="0" fontId="1" fillId="0" borderId="14" xfId="6" applyFont="1" applyFill="1" applyBorder="1" applyAlignment="1">
      <alignment horizontal="left" vertical="center"/>
    </xf>
    <xf numFmtId="0" fontId="3" fillId="0" borderId="1" xfId="1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5" fillId="2" borderId="3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</cellXfs>
  <cellStyles count="7">
    <cellStyle name="常规" xfId="0" builtinId="0"/>
    <cellStyle name="一般 3 2 11" xfId="1" xr:uid="{00000000-0005-0000-0000-000031000000}"/>
    <cellStyle name="一般 3 2 11 2" xfId="4" xr:uid="{00000000-0005-0000-0000-000034000000}"/>
    <cellStyle name="一般 6 2 2" xfId="5" xr:uid="{00000000-0005-0000-0000-000035000000}"/>
    <cellStyle name="一般_Sheet1 2" xfId="2" xr:uid="{00000000-0005-0000-0000-000032000000}"/>
    <cellStyle name="一般_Targeting file for Feb. 2006 to Asus_IBM" xfId="3" xr:uid="{00000000-0005-0000-0000-000033000000}"/>
    <cellStyle name="一般_USI RFI Response - Hatteras &amp; iBBU 0416-10" xfId="6" xr:uid="{00000000-0005-0000-0000-000036000000}"/>
  </cellStyles>
  <dxfs count="18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MDCE/Monthly%20Pricing/IBM/1999/May%2099/May99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AUG2/AUG%20FIN%20WK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41.32.76\d$\My%20Documents\EXP\2002-07\EXP2002-06su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i12772-pc\MOI\My%20Documents\Sales\Sales%20Funnel\sales%20funnel%20W51%20v0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$/Documents%20and%20Settings/KS000022/Local%20Settings/Temporary%20Internet%20Files/Content.Outlook/39M0ZCUF/8866-960001-02%20%202014.3.24%20TEST&#39044;&#20272;&#24037;&#26102;%20-%20&#21103;&#26412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BJM74/Documents/LEAN%20TRANSFORMATION%20TRAINING/NEW%20BELT%20CERTIFICATION/PROFESSIONAL%20YELLOW%20BELT/PROCESS%20FMEA/ED14664%20FMEA%20&amp;%20Control%20Plan%20Template%20Rev.%2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compass.mot.com\Documents%20and%20Settings\shannlee\My%20Documents\FREMONT\CT2R\CT2R%20AMP-Solectron%2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.BM\1.&#25253;&#20215;\1.&#12304;&#26410;&#23436;&#25104;&#12305;\1.&#12304;&#37327;&#20135;&#12305;\&#12304;20251205&#12305;TX%20&#38134;&#27827;\BOM%20&#36164;&#26009;\HT%20BOM\&#25253;&#20215;BOM\14.SH7569ACA_PDB_Board2_V2_EBOM_C.2_250904_&#20027;&#20379;BOM_CE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\share\SiteData\GDL4\Publico\Planning&amp;Scheduling\Plan%20de%20Produccion%20Sanmina\DICIEMBRE%2006\Archivos%20de%20Verificaciones%20de%20planes%20de%20Dic%2006\NEW%20DIC%202006%20PRODUCTION%20PLAN%20ABS%20nuevo%20xsalida%20PUNCH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compass.mot.com\My%20Documents\NEWCUSTOMER\CISCO_SYSTEMS\CS_FCST\SLR_CISCO_FCST\MAY_2005\Forecast%20SCI-SAN%20MX-23-MAY-05_RESPONS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ggannon/Local%20Settings/Temporary%20Internet%20Files/OLK48/BOXSTER%20Planner%20Rev%20X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compass.mot.com\PRIVATE\SECTION\PROG\Common3\Cisco\Demand_Commit\MA\EDI%20From%20Corporate\Reschedule_PDC__51212_E83%20PENANG%201_11-6-2006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41.32.76\d$\2001\AI%20Expense\M4\EXP2001-0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i12772-pc\MOI\My%20Documents\Sales\Sales%20Funnel\sales%20funnel%20W06%20v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ent008\Program\New%20Folder\Project%20Management\Project%20Dashboards\Dell%20Boxster\BOXSTER%20Planner%20Rev%20X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%20Management/Project%20Dashboards/Dell%20Boxster/BOXSTER%20Planner%20Rev%20X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PRIVATE\SECTION\PROG\Common3\Cisco\Demand_Commit\MA\EDI%20From%20Corporate\Reschedule_PDC__51212_E83%20PENANG%201_11-6-2006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Project%20Management\Project%20Dashboards\Dell%20Boxster\BOXSTER%20Planner%20Rev%20X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L Prices"/>
      <sheetName val="Module Prices"/>
      <sheetName val="CVAs"/>
      <sheetName val="Price List"/>
      <sheetName val="Customer Pricelist"/>
      <sheetName val="FLAT FILE"/>
      <sheetName val="Alt list showing cost detail"/>
      <sheetName val="Sheet3"/>
      <sheetName val="DELTA ANALYSI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EV"/>
      <sheetName val=" LBR X"/>
      <sheetName val="OT"/>
      <sheetName val="SVC"/>
      <sheetName val="CTC 0820"/>
      <sheetName val="AGING"/>
      <sheetName val="OTK"/>
      <sheetName val="Module1"/>
      <sheetName val="Module2"/>
      <sheetName val="Lists"/>
      <sheetName val="Assumptions"/>
      <sheetName val="MGTMACRO"/>
      <sheetName val="Menu Items"/>
      <sheetName val="Palm"/>
      <sheetName val="Cover"/>
      <sheetName val="CONSOBS"/>
      <sheetName val="CONSOPL"/>
      <sheetName val="Equipment List"/>
      <sheetName val="BUSSMANN INTERNATIONAL INC"/>
      <sheetName val="FA-LISTING"/>
      <sheetName val="Sheet2"/>
      <sheetName val="Engineering"/>
      <sheetName val="Losses"/>
      <sheetName val="Inputs from ASAP"/>
      <sheetName val="Setup"/>
      <sheetName val="setup2"/>
      <sheetName val="_LBR_X"/>
      <sheetName val="CTC_0820"/>
      <sheetName val="Menu_Items"/>
      <sheetName val="Equipment_List"/>
      <sheetName val="BUSSMANN_INTERNATIONAL_INC"/>
      <sheetName val="Inputs_from_ASAP"/>
      <sheetName val="Program Summary"/>
      <sheetName val="Site Overview"/>
      <sheetName val="RPT"/>
      <sheetName val="P&amp;L by prod"/>
      <sheetName val="Summary by Monthly"/>
      <sheetName val="Labor Input Data"/>
      <sheetName val="WaterFallsQ1'16 "/>
      <sheetName val="Data Validation "/>
      <sheetName val="E&amp;O"/>
      <sheetName val="System NPV"/>
      <sheetName val="Summary"/>
      <sheetName val="Painting"/>
      <sheetName val="RMA"/>
      <sheetName val="_LBR_X1"/>
      <sheetName val="CTC_08201"/>
      <sheetName val="_LBR_X2"/>
      <sheetName val="CTC_08202"/>
      <sheetName val="_LBR_X3"/>
      <sheetName val="CTC_08203"/>
      <sheetName val="_LBR_X4"/>
      <sheetName val="CTC_08204"/>
      <sheetName val="_LBR_X7"/>
      <sheetName val="CTC_08207"/>
      <sheetName val="_LBR_X5"/>
      <sheetName val="CTC_08205"/>
      <sheetName val="_LBR_X6"/>
      <sheetName val="CTC_08206"/>
      <sheetName val="_LBR_X8"/>
      <sheetName val="CTC_08208"/>
      <sheetName val="_LBR_X9"/>
      <sheetName val="CTC_08209"/>
      <sheetName val="_LBR_X10"/>
      <sheetName val="CTC_082010"/>
      <sheetName val="_LBR_X11"/>
      <sheetName val="CTC_082011"/>
      <sheetName val="_LBR_X12"/>
      <sheetName val="CTC_082012"/>
      <sheetName val="_LBR_X13"/>
      <sheetName val="CTC_082013"/>
      <sheetName val="_LBR_X14"/>
      <sheetName val="CTC_082014"/>
      <sheetName val="_LBR_X15"/>
      <sheetName val="CTC_082015"/>
      <sheetName val="AUG FIN WK3"/>
      <sheetName val="West turn by model"/>
      <sheetName val="PPV_rec"/>
      <sheetName val="ISRDATA"/>
      <sheetName val="List"/>
      <sheetName val="AC"/>
      <sheetName val="_LBR_X16"/>
      <sheetName val="CTC_082016"/>
      <sheetName val="_LBR_X17"/>
      <sheetName val="CTC_082017"/>
      <sheetName val="_LBR_X18"/>
      <sheetName val="CTC_082018"/>
      <sheetName val="_LBR_X20"/>
      <sheetName val="CTC_082020"/>
      <sheetName val="_LBR_X19"/>
      <sheetName val="CTC_082019"/>
      <sheetName val="_LBR_X21"/>
      <sheetName val="CTC_082021"/>
      <sheetName val="_LBR_X22"/>
      <sheetName val="CTC_082022"/>
      <sheetName val="_LBR_X23"/>
      <sheetName val="CTC_082023"/>
      <sheetName val="Workings"/>
      <sheetName val="superbom 2"/>
      <sheetName val="ROHS"/>
      <sheetName val="Calculation Summary"/>
      <sheetName val="Bud vs Act"/>
      <sheetName val="Calculation Remove saving"/>
      <sheetName val="Summary PnL(S)"/>
      <sheetName val="True up (@3%)"/>
      <sheetName val="PNL Results"/>
      <sheetName val="BHI_QARM Calculation"/>
      <sheetName val="Summary PnL(S) Yr2"/>
      <sheetName val="#REF"/>
      <sheetName val="Fcst SALES"/>
      <sheetName val="Cover sheet"/>
      <sheetName val="STDVGL"/>
      <sheetName val="Headcount"/>
      <sheetName val="_LBR_X24"/>
      <sheetName val="CTC_082024"/>
      <sheetName val="Menu_Items1"/>
      <sheetName val="Equipment_List1"/>
      <sheetName val="BUSSMANN_INTERNATIONAL_INC1"/>
      <sheetName val="Inputs_from_ASAP1"/>
      <sheetName val="Program_Summary"/>
      <sheetName val="Site_Overview"/>
      <sheetName val="P&amp;L_by_prod"/>
      <sheetName val="Summary_by_Monthly"/>
      <sheetName val="Labor_Input_Data"/>
      <sheetName val="WaterFallsQ1'16_"/>
      <sheetName val="Data_Validation_"/>
      <sheetName val="System_NPV"/>
      <sheetName val="AUG_FIN_WK3"/>
      <sheetName val="West_turn_by_model"/>
      <sheetName val="superbom_2"/>
      <sheetName val="Price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費用分攤表"/>
      <sheetName val="SUM"/>
      <sheetName val="費用分攤表(ALL)"/>
      <sheetName val="MY00 REPORT"/>
      <sheetName val="ALL2002-07"/>
      <sheetName val="MLTX2002-07"/>
      <sheetName val="M1SM2002-07"/>
      <sheetName val="費用分攤表-M1SM -July"/>
      <sheetName val="費用分攤表-MS00"/>
      <sheetName val="Sheet1"/>
      <sheetName val="費用分攤表-MS00-data"/>
      <sheetName val="summary"/>
      <sheetName val="DS "/>
      <sheetName val="NW "/>
      <sheetName val="IA1"/>
      <sheetName val="IA2"/>
      <sheetName val="MS"/>
      <sheetName val="CSD"/>
      <sheetName val="M1Y0"/>
      <sheetName val="MU00"/>
      <sheetName val="OTHER"/>
      <sheetName val="ExportData"/>
      <sheetName val="codes"/>
      <sheetName val="Arch II"/>
      <sheetName val="MZC600"/>
      <sheetName val="HDDM"/>
      <sheetName val="Tuscany"/>
      <sheetName val="BY MONTH"/>
      <sheetName val="RUB"/>
      <sheetName val="0103 to 0109"/>
      <sheetName val="0110 to 0116"/>
      <sheetName val="0117 to 0123"/>
      <sheetName val="0124 to 0130"/>
      <sheetName val="0131"/>
      <sheetName val="total"/>
      <sheetName val="Trendsum_CoPQY2010 BU"/>
      <sheetName val="Y2009 BU Level Jul "/>
      <sheetName val="Raw Data"/>
      <sheetName val="YTD_CoPQY2009 BU"/>
      <sheetName val="NB"/>
      <sheetName val="Extra Cost Data"/>
      <sheetName val="Cover"/>
      <sheetName val="MZC300"/>
      <sheetName val="MZC400"/>
      <sheetName val="MZC500"/>
      <sheetName val="MZC800"/>
      <sheetName val="MZC900"/>
      <sheetName val="Weekly Manpower"/>
      <sheetName val="Xenon"/>
      <sheetName val="MZCN&amp;1&amp;2"/>
      <sheetName val="Macros"/>
      <sheetName val="2F IPQC issue Chart  "/>
      <sheetName val="pcbo 工時"/>
      <sheetName val="충전기"/>
      <sheetName val="BaseData"/>
      <sheetName val="Stock"/>
      <sheetName val="BB Table"/>
      <sheetName val="plan"/>
      <sheetName val="small card 基本資料0216_04"/>
      <sheetName val="ref"/>
      <sheetName val="DATA"/>
      <sheetName val="pd_SSS"/>
      <sheetName val="Weekly Cases Opened"/>
      <sheetName val="ISRDATA"/>
      <sheetName val="IQC Inspection Data"/>
      <sheetName val="工作表2"/>
      <sheetName val="MY00_REPORT"/>
      <sheetName val="費用分攤表-M1SM_-July"/>
      <sheetName val="DS_"/>
      <sheetName val="NW_"/>
      <sheetName val="Trendsum_CoPQY2010_BU"/>
      <sheetName val="Y2009_BU_Level_Jul_"/>
      <sheetName val="YTD_CoPQY2009_BU"/>
      <sheetName val="Raw_Data"/>
      <sheetName val="0103_to_0109"/>
      <sheetName val="0110_to_0116"/>
      <sheetName val="0117_to_0123"/>
      <sheetName val="0124_to_0130"/>
      <sheetName val="Extra_Cost_Data"/>
      <sheetName val="Weekly_Manpower"/>
      <sheetName val="2F_IPQC_issue_Chart__"/>
      <sheetName val="pcbo_工時"/>
      <sheetName val="BB_Table"/>
      <sheetName val="small_card_基本資料0216_04"/>
      <sheetName val="Arch_II"/>
      <sheetName val="會計科目"/>
      <sheetName val="工作表3"/>
      <sheetName val="各部主管及DRI"/>
      <sheetName val="工作表1"/>
      <sheetName val="MT-X01"/>
      <sheetName val="Hourly Rate"/>
      <sheetName val="Weekly_Cases_Opened"/>
      <sheetName val="IQC_Inspection_Data"/>
      <sheetName val="BY_MONTH"/>
      <sheetName val="Reschedule-Reconfirm"/>
      <sheetName val="ArchII"/>
      <sheetName val="Detail"/>
      <sheetName val="Vise"/>
      <sheetName val="Xbox"/>
      <sheetName val="OT"/>
      <sheetName val="Issues List"/>
      <sheetName val="Metal_list"/>
      <sheetName val="LIST"/>
      <sheetName val="reason"/>
      <sheetName val="Action Summary "/>
      <sheetName val="customer"/>
      <sheetName val="Action"/>
      <sheetName val="工作表5"/>
      <sheetName val="cu"/>
      <sheetName val="Action "/>
      <sheetName val="wsp 12-03"/>
      <sheetName val="2FDAY"/>
      <sheetName val="Settings"/>
      <sheetName val="Candidate"/>
      <sheetName val="Master Lists"/>
      <sheetName val="Reference Table"/>
      <sheetName val="下拉清單"/>
      <sheetName val="MY00_REPORT1"/>
      <sheetName val="費用分攤表-M1SM_-July1"/>
      <sheetName val="DS_1"/>
      <sheetName val="NW_1"/>
      <sheetName val="0103_to_01091"/>
      <sheetName val="0110_to_01161"/>
      <sheetName val="0117_to_01231"/>
      <sheetName val="0124_to_01301"/>
      <sheetName val="Trendsum_CoPQY2010_BU1"/>
      <sheetName val="Y2009_BU_Level_Jul_1"/>
      <sheetName val="Raw_Data1"/>
      <sheetName val="YTD_CoPQY2009_BU1"/>
      <sheetName val="Weekly_Manpower1"/>
      <sheetName val="Extra_Cost_Data1"/>
      <sheetName val="2F_IPQC_issue_Chart__1"/>
      <sheetName val="pcbo_工時1"/>
      <sheetName val="BB_Table1"/>
      <sheetName val="small_card_基本資料0216_041"/>
      <sheetName val="Arch_II1"/>
      <sheetName val="GSO's File"/>
      <sheetName val="Dean's File"/>
      <sheetName val="overlap waterfall barbados_lf"/>
      <sheetName val="作業分配表"/>
      <sheetName val="Mat Summary"/>
      <sheetName val="Blf2+LOM cost bom_080902"/>
      <sheetName val="FA-LISTING"/>
      <sheetName val="Sheet1 (2)"/>
      <sheetName val="&quot;B&quot; Quote Model"/>
      <sheetName val="All-In-One"/>
      <sheetName val="MetricsData"/>
      <sheetName val="掌控表"/>
      <sheetName val="Overhead calculations"/>
      <sheetName val="掌控"/>
      <sheetName val="Proto 1"/>
      <sheetName val="Team List"/>
      <sheetName val="Neo"/>
      <sheetName val="Information"/>
      <sheetName val="MFG MVA Assumption"/>
      <sheetName val="Basic Assumption"/>
      <sheetName val="Material List"/>
      <sheetName val="MPS Q3 FY05"/>
      <sheetName val="Forwarder_Plan"/>
      <sheetName val="Master List"/>
      <sheetName val="check List"/>
      <sheetName val="Sheet3"/>
      <sheetName val="Menus"/>
      <sheetName val="Test Data-Thermals-TTV"/>
      <sheetName val="wi modem及scan"/>
      <sheetName val="FA"/>
      <sheetName val="EXP2002-06sum"/>
      <sheetName val="G24-10 比較"/>
      <sheetName val="期初B"/>
      <sheetName val="Weekly Shift Plan"/>
      <sheetName val="XBOX360"/>
      <sheetName val="CUM CONSTRAINED AVAIL"/>
      <sheetName val="Cable"/>
      <sheetName val="MX"/>
      <sheetName val="Spending by COA"/>
      <sheetName val="中间表"/>
      <sheetName val="Sheet2"/>
      <sheetName val="PARTS"/>
      <sheetName val="Hidden"/>
      <sheetName val="Q_BF3 FBOM-update011504 (2)"/>
      <sheetName val="BF3_Jan_Cost"/>
      <sheetName val="0518"/>
      <sheetName val="2003 prod2"/>
      <sheetName val="2003 Target"/>
      <sheetName val="Category"/>
      <sheetName val="Work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enue achievement% by month"/>
      <sheetName val="for monthly review"/>
      <sheetName val="guide line"/>
      <sheetName val="TOP11&amp; GCA month"/>
      <sheetName val="Melco"/>
      <sheetName val="Dell"/>
      <sheetName val="Toshiba"/>
      <sheetName val="Proxim"/>
      <sheetName val="NEC"/>
      <sheetName val="HP"/>
      <sheetName val="Sony"/>
      <sheetName val="Apple"/>
      <sheetName val="IBM"/>
      <sheetName val="Others"/>
      <sheetName val="Sheet3"/>
      <sheetName val="Revenue"/>
      <sheetName val="NBD revenue"/>
      <sheetName val="recenue achievement%"/>
      <sheetName val="ODM&amp;OTS"/>
      <sheetName val="EMS"/>
      <sheetName val="JDM"/>
      <sheetName val="ODM"/>
      <sheetName val="BM revenue in Y2004"/>
      <sheetName val="OTS"/>
      <sheetName val="revenue by month"/>
      <sheetName val="Sales Funnel"/>
      <sheetName val="choose list"/>
      <sheetName val="Funnel overview"/>
      <sheetName val="Model number"/>
      <sheetName val="Lost&amp;Win project"/>
      <sheetName val="1127-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866-960001-02"/>
      <sheetName val="Sheet1"/>
      <sheetName val="Price Lis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CoverPage for PFMEA"/>
      <sheetName val="Definitions"/>
      <sheetName val="PFMEA Major Steps"/>
      <sheetName val="PFMEA Common Pitfalls"/>
      <sheetName val="PFMEA Template"/>
      <sheetName val="Control Plan Template"/>
      <sheetName val="Severity"/>
      <sheetName val="Occurrence"/>
      <sheetName val="Detection &amp; Prevention"/>
      <sheetName val="8866-960001-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l Sheet"/>
      <sheetName val="Reschedule-Reconfirm"/>
      <sheetName val="Severity"/>
      <sheetName val="Detection &amp; Prevention"/>
      <sheetName val="Occurre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M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"/>
      <sheetName val="Delta"/>
      <sheetName val="Project"/>
      <sheetName val="Plan"/>
      <sheetName val="Act Built"/>
      <sheetName val="MDS"/>
      <sheetName val="Bitacora cambios"/>
      <sheetName val="Final Sheet"/>
      <sheetName val="Severity"/>
      <sheetName val="Detection &amp; Prevention"/>
      <sheetName val="Occurre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ponse Worksheet"/>
      <sheetName val="Combined"/>
      <sheetName val="Act Built"/>
      <sheetName val="Final Shee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Dashboard"/>
      <sheetName val="Contacts"/>
      <sheetName val="Production Build 2-16"/>
      <sheetName val="BOM Cover"/>
      <sheetName val="BOM Rev 13"/>
      <sheetName val="BOM Info Rev 12a"/>
      <sheetName val="Summary"/>
      <sheetName val="Sheet Metal-Hard Tool"/>
      <sheetName val="Plastics"/>
      <sheetName val="Assemblies"/>
      <sheetName val="Purchased-All"/>
      <sheetName val="New Issues"/>
      <sheetName val="Issues List"/>
      <sheetName val="Sheet1"/>
      <sheetName val="Act Bui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chedule-Reconfirm"/>
      <sheetName val="InstructionsAndTs&amp;Cs"/>
      <sheetName val="OriginalCopy-DoNotEdit"/>
      <sheetName val="Combined"/>
      <sheetName val="Act Bui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um"/>
      <sheetName val="DS "/>
      <sheetName val="NW "/>
      <sheetName val="IA1"/>
      <sheetName val="IA2"/>
      <sheetName val="DVD"/>
      <sheetName val="PTB"/>
      <sheetName val="CSD"/>
      <sheetName val="M700"/>
      <sheetName val="OTHER"/>
      <sheetName val="Hourly Rate"/>
      <sheetName val="ExportData"/>
      <sheetName val="FRU Cost"/>
      <sheetName val="EC Charge"/>
      <sheetName val="Others"/>
      <sheetName val="Pilot Run"/>
      <sheetName val="Rework"/>
      <sheetName val="MACRO"/>
      <sheetName val="MZC300"/>
      <sheetName val="MZC400"/>
      <sheetName val="MZC500"/>
      <sheetName val="MZC800"/>
      <sheetName val="MZC900"/>
      <sheetName val="Weekly Manpower"/>
      <sheetName val="Xenon"/>
      <sheetName val="MZCN&amp;1&amp;2"/>
      <sheetName val="Macros"/>
      <sheetName val="Detail"/>
      <sheetName val="Weekly Shift Plan"/>
      <sheetName val="XBOX360"/>
      <sheetName val="BaseData"/>
      <sheetName val="Sheet2"/>
      <sheetName val="Sheet3"/>
      <sheetName val="Trendsum_CoPQY2010 BU"/>
      <sheetName val="Stock"/>
      <sheetName val="FAE reports"/>
      <sheetName val="Budget unit"/>
      <sheetName val="2FDAY"/>
      <sheetName val="IS-YTD"/>
      <sheetName val="EXP2001-04"/>
      <sheetName val="BS"/>
      <sheetName val="OBU"/>
      <sheetName val="temp"/>
      <sheetName val="Setup"/>
      <sheetName val="Information"/>
      <sheetName val="Reference"/>
      <sheetName val="期初B"/>
      <sheetName val="1. Inputs"/>
      <sheetName val="STD"/>
      <sheetName val="DataBased"/>
      <sheetName val="DS_"/>
      <sheetName val="NW_"/>
      <sheetName val="Hourly_Rate"/>
      <sheetName val="Trendsum_CoPQY2010_BU"/>
      <sheetName val="Weekly_Shift_Plan"/>
      <sheetName val="FAE_reports"/>
      <sheetName val="Budget_unit"/>
      <sheetName val="FRU_Cost"/>
      <sheetName val="EC_Charge"/>
      <sheetName val="Pilot_Run"/>
      <sheetName val="Weekly_Manpower"/>
      <sheetName val="small card 基本資料0216_04"/>
      <sheetName val="Issues List"/>
      <sheetName val="Assumption"/>
      <sheetName val="Data"/>
      <sheetName val="Base Data"/>
      <sheetName val="Reason"/>
      <sheetName val="Action"/>
      <sheetName val="customer"/>
      <sheetName val="Ref Data"/>
      <sheetName val="ISRDATA"/>
      <sheetName val="1__Inputs"/>
      <sheetName val="Settings"/>
      <sheetName val="Reschedule-Reconfirm"/>
      <sheetName val="Engineering Resources"/>
      <sheetName val="Sample"/>
      <sheetName val="SW Test"/>
      <sheetName val="EMC pre-test"/>
      <sheetName val="RF_Performance_LTE FCC_NA(WAN)"/>
      <sheetName val="RF Perfom WCDMA LTE CE_EU(WAN)"/>
      <sheetName val="RFI_NA_Reduced"/>
      <sheetName val="RFI_EU_Reduced"/>
      <sheetName val="RFI_WLAN_Reduced"/>
      <sheetName val="Antenna Pre-Test_Worldwide-WAN2"/>
      <sheetName val="AntennaPre-Test_Worldwide-WLAN2"/>
      <sheetName val="RF Pre-Test_NA_RFV (WAN)24 "/>
      <sheetName val="RF Pre-Test_EU_RFV (WAN)24"/>
      <sheetName val="RF_Pre-test_Wifi Only24"/>
      <sheetName val="QTP"/>
      <sheetName val="IEEE 1725 (WAN)"/>
      <sheetName val="EMC regulatory_NA (WAN)"/>
      <sheetName val="EMC regulatory_EU (WAN)"/>
      <sheetName val="Thunder Backward"/>
      <sheetName val="Thunder Backward(Falcon ACC)"/>
      <sheetName val="EMC regulatory_WLAN only"/>
      <sheetName val="Safety"/>
      <sheetName val="RF Regulatory_Tier1(WAN)"/>
      <sheetName val="RF Regulatory_Tier2 (WAN)"/>
      <sheetName val="RF Official regulatoryWLAN Tie1"/>
      <sheetName val="RF Official regulatoryWLAN Tie2"/>
      <sheetName val="Cetification _Fee_WWAN"/>
      <sheetName val="Cetification _Fee_WLAN"/>
      <sheetName val="PTCRB_GCF Pre Test (WAN)"/>
      <sheetName val="PTCRB_GCF (WAN)"/>
      <sheetName val="Carrier PreTest (WAN)"/>
      <sheetName val="Carrier Official Test (WAN)"/>
      <sheetName val="Tooling"/>
      <sheetName val="Fixtures"/>
      <sheetName val="CTO PO"/>
      <sheetName val="DS_1"/>
      <sheetName val="NW_1"/>
      <sheetName val="Hourly_Rate1"/>
      <sheetName val="Weekly_Shift_Plan1"/>
      <sheetName val="Trendsum_CoPQY2010_BU1"/>
      <sheetName val="FAE_reports1"/>
      <sheetName val="Budget_unit1"/>
      <sheetName val="FRU_Cost1"/>
      <sheetName val="EC_Charge1"/>
      <sheetName val="Pilot_Run1"/>
      <sheetName val="Weekly_Manpower1"/>
      <sheetName val="Base_Data"/>
      <sheetName val="Ref_Data"/>
      <sheetName val="small_card_基本資料0216_04"/>
      <sheetName val="Cover"/>
      <sheetName val="Version Control"/>
      <sheetName val="非機種"/>
      <sheetName val="All Parts"/>
      <sheetName val="Cyce 3 Descriptions"/>
      <sheetName val="Call Down Data OLD"/>
      <sheetName val="List"/>
      <sheetName val="PCSM"/>
      <sheetName val="Intel Lan + AD1885 EBOM"/>
      <sheetName val="Deliverables"/>
      <sheetName val="Project Details"/>
      <sheetName val="Rates"/>
      <sheetName val="P&amp;L"/>
      <sheetName val="PartsList"/>
      <sheetName val="Management Review"/>
      <sheetName val="Product Data Entry"/>
      <sheetName val="All"/>
      <sheetName val="Bom(P1)"/>
      <sheetName val="wsp 01-07"/>
      <sheetName val="FA"/>
      <sheetName val="fa-listing"/>
      <sheetName val="greer"/>
      <sheetName val="GPIO raw"/>
      <sheetName val="IO Summary"/>
      <sheetName val="Process Scaling"/>
      <sheetName val="IPXPTL"/>
      <sheetName val="summary_4.5%MOH"/>
      <sheetName val="Master Lists"/>
      <sheetName val="D45D46"/>
      <sheetName val="scm av data"/>
      <sheetName val="Candidate"/>
      <sheetName val="plan"/>
      <sheetName val="INV"/>
      <sheetName val="SFC"/>
      <sheetName val="SHIP"/>
      <sheetName val="SO"/>
      <sheetName val="WFA"/>
      <sheetName val="DropDownLists"/>
      <sheetName val="DS_2"/>
      <sheetName val="NW_2"/>
      <sheetName val="Hourly_Rate2"/>
      <sheetName val="FRU_Cost2"/>
      <sheetName val="EC_Charge2"/>
      <sheetName val="Pilot_Run2"/>
      <sheetName val="Weekly_Manpower2"/>
      <sheetName val="Weekly_Shift_Plan2"/>
      <sheetName val="Trendsum_CoPQY2010_BU2"/>
      <sheetName val="FAE_reports2"/>
      <sheetName val="Budget_unit2"/>
      <sheetName val="1__Inputs1"/>
      <sheetName val="small_card_基本資料0216_041"/>
      <sheetName val="Base_Data1"/>
      <sheetName val="Ref_Data1"/>
      <sheetName val="Issues_List"/>
      <sheetName val="GPIO_raw"/>
      <sheetName val="IO_Summary"/>
      <sheetName val="Process_Scaling"/>
      <sheetName val="summary_4_5%MOH"/>
      <sheetName val="Master_Lists"/>
      <sheetName val="Engineering_Resources"/>
      <sheetName val="SW_Test"/>
      <sheetName val="EMC_pre-test"/>
      <sheetName val="RF_Performance_LTE_FCC_NA(WAN)"/>
      <sheetName val="RF_Perfom_WCDMA_LTE_CE_EU(WAN)"/>
      <sheetName val="Antenna_Pre-Test_Worldwide-WAN2"/>
      <sheetName val="RF_Pre-Test_NA_RFV_(WAN)24_"/>
      <sheetName val="RF_Pre-Test_EU_RFV_(WAN)24"/>
      <sheetName val="RF_Pre-test_Wifi_Only24"/>
      <sheetName val="IEEE_1725_(WAN)"/>
      <sheetName val="EMC_regulatory_NA_(WAN)"/>
      <sheetName val="EMC_regulatory_EU_(WAN)"/>
      <sheetName val="Thunder_Backward"/>
      <sheetName val="Thunder_Backward(Falcon_ACC)"/>
      <sheetName val="EMC_regulatory_WLAN_only"/>
      <sheetName val="RF_Regulatory_Tier1(WAN)"/>
      <sheetName val="RF_Regulatory_Tier2_(WAN)"/>
      <sheetName val="RF_Official_regulatoryWLAN_Tie1"/>
      <sheetName val="RF_Official_regulatoryWLAN_Tie2"/>
      <sheetName val="Cetification__Fee_WWAN"/>
      <sheetName val="Cetification__Fee_WLAN"/>
      <sheetName val="PTCRB_GCF_Pre_Test_(WAN)"/>
      <sheetName val="PTCRB_GCF_(WAN)"/>
      <sheetName val="Carrier_PreTest_(WAN)"/>
      <sheetName val="Carrier_Official_Test_(WAN)"/>
      <sheetName val="CTO_PO"/>
      <sheetName val="Version_Control"/>
      <sheetName val="All_Parts"/>
      <sheetName val="Cyce_3_Descriptions"/>
      <sheetName val="Call_Down_Data_OLD"/>
      <sheetName val="Intel_Lan_+_AD1885_EBOM"/>
      <sheetName val="Project_Details"/>
      <sheetName val="Management_Review"/>
      <sheetName val="Product_Data_Entry"/>
      <sheetName val="wsp_01-07"/>
      <sheetName val="Detail Schedule"/>
      <sheetName val="OverTime Rule"/>
      <sheetName val="IE"/>
      <sheetName val="Custom_Cost"/>
      <sheetName val="A-Note Bug list"/>
      <sheetName val="Input data"/>
      <sheetName val="Better"/>
      <sheetName val="F"/>
      <sheetName val="HK"/>
      <sheetName val="Best"/>
      <sheetName val="AIR (Inbound material)"/>
      <sheetName val="Build Instructions"/>
      <sheetName val="sm Pcost"/>
      <sheetName val="Raw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enue achievement% by month"/>
      <sheetName val="for monthly review"/>
      <sheetName val="guide line"/>
      <sheetName val="Revenue USD"/>
      <sheetName val="Revenue"/>
      <sheetName val="recenue achievement%"/>
      <sheetName val="ODM&amp;OTS"/>
      <sheetName val="EMS"/>
      <sheetName val="JDM"/>
      <sheetName val="ODM"/>
      <sheetName val="BM revenue in Y2004"/>
      <sheetName val="OTS"/>
      <sheetName val="revenue by month"/>
      <sheetName val="NBD revenue 1"/>
      <sheetName val="Sales Funnel "/>
      <sheetName val="choose list"/>
      <sheetName val="Funnel overview"/>
      <sheetName val="Lost&amp;Win project"/>
      <sheetName val="Issues List"/>
      <sheetName val="Reschedule-Reconfir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Dashboard"/>
      <sheetName val="Contacts"/>
      <sheetName val="Production Build 2-16"/>
      <sheetName val="BOM Cover"/>
      <sheetName val="BOM Rev 13"/>
      <sheetName val="BOM Info Rev 12a"/>
      <sheetName val="Summary"/>
      <sheetName val="Sheet Metal-Hard Tool"/>
      <sheetName val="Plastics"/>
      <sheetName val="Assemblies"/>
      <sheetName val="Purchased-All"/>
      <sheetName val="New Issues"/>
      <sheetName val="Issues List"/>
      <sheetName val="Sheet1"/>
      <sheetName val="Receiving Inspection"/>
      <sheetName val="Data lists"/>
      <sheetName val="대외공문"/>
      <sheetName val="P&amp;L wCorpAlloc"/>
      <sheetName val="All"/>
      <sheetName val="ISRDATA"/>
      <sheetName val="Definition"/>
      <sheetName val="A  產業車輛故障項目核對結果"/>
      <sheetName val="L2-車輛詳細資料 "/>
      <sheetName val="FA_LISTING"/>
      <sheetName val="LIST"/>
      <sheetName val="0414data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0518"/>
      <sheetName val="Summarized P&amp;L"/>
      <sheetName val="#REF!"/>
      <sheetName val="QuoteSummary"/>
      <sheetName val="General Instructions"/>
      <sheetName val="Master List"/>
      <sheetName val="BOXSTER Planner Rev X1"/>
      <sheetName val="FA-LISTING"/>
      <sheetName val="Price Summary"/>
      <sheetName val="Cost Breakdown"/>
      <sheetName val="Assessments"/>
      <sheetName val="Sheet3"/>
      <sheetName val="DBL LPG시험"/>
      <sheetName val="Rates"/>
      <sheetName val="Price Model"/>
      <sheetName val="Production_Build_2-16"/>
      <sheetName val="BOM_Cover"/>
      <sheetName val="BOM_Rev_13"/>
      <sheetName val="BOM_Info_Rev_12a"/>
      <sheetName val="Sheet_Metal-Hard_Tool"/>
      <sheetName val="New_Issues"/>
      <sheetName val="Issues_List"/>
      <sheetName val="Data_lists"/>
      <sheetName val="DBL_LPG시험"/>
      <sheetName val="Price_Model"/>
      <sheetName val="Sheet2"/>
      <sheetName val="Palm"/>
      <sheetName val="P&amp;L"/>
      <sheetName val="FA"/>
      <sheetName val="code"/>
      <sheetName val="Blf2+LOM cost bom_080902"/>
      <sheetName val="Master Lists"/>
      <sheetName val="Receiving_Inspection"/>
      <sheetName val="P&amp;L_wCorpAlloc"/>
      <sheetName val="Summarized_P&amp;L"/>
      <sheetName val="General_Instructions"/>
      <sheetName val="Master_List"/>
      <sheetName val="Warrant"/>
      <sheetName val="Assembly BOM"/>
      <sheetName val="FAI"/>
      <sheetName val="Cpk"/>
      <sheetName val="GR&amp;R"/>
      <sheetName val="PFD"/>
      <sheetName val="PMP"/>
      <sheetName val="PFMEA"/>
      <sheetName val="customer drawing"/>
      <sheetName val="supplier drawing"/>
      <sheetName val="Material Certification"/>
      <sheetName val="Package method"/>
      <sheetName val="reliability test report"/>
      <sheetName val="Rohs management list"/>
      <sheetName val="Rohs test report"/>
      <sheetName val="SGS"/>
      <sheetName val="1492分攤"/>
      <sheetName val="Valores"/>
      <sheetName val="IP-1 INSP-CAV #2"/>
      <sheetName val="Nimitz Base Cover"/>
      <sheetName val="Root causes"/>
      <sheetName val="Call Down Data OLD"/>
      <sheetName val="I Input Template"/>
      <sheetName val="Supplier Base Input"/>
      <sheetName val="Assembly_BOM"/>
      <sheetName val="customer_drawing"/>
      <sheetName val="supplier_drawing"/>
      <sheetName val="Material_Certification"/>
      <sheetName val="Package_method"/>
      <sheetName val="reliability_test_report"/>
      <sheetName val="Rohs_management_list"/>
      <sheetName val="Rohs_test_report"/>
      <sheetName val="IP-1_INSP-CAV_#2"/>
      <sheetName val="Root_causes"/>
      <sheetName val="Nimitz_Base_Cover"/>
      <sheetName val="Call_Down_Data_OLD"/>
      <sheetName val="I_Input_Template"/>
      <sheetName val="SBB Table"/>
      <sheetName val="All Parts"/>
      <sheetName val="Carlin-G costbom"/>
      <sheetName val="All_Parts"/>
      <sheetName val="Carlin-G_costbom"/>
      <sheetName val="Pivot"/>
      <sheetName val="Nov"/>
      <sheetName val="#REF"/>
      <sheetName val="4048"/>
      <sheetName val="Assy"/>
      <sheetName val="129 COA"/>
      <sheetName val="MOH-April"/>
      <sheetName val="New Workings"/>
      <sheetName val="P&amp;LOEM &amp; FG"/>
      <sheetName val="差异分攤"/>
      <sheetName val=" Quotation sheet"/>
      <sheetName val="Entry"/>
      <sheetName val="Shot"/>
      <sheetName val="Summary Design-Proto"/>
      <sheetName val="Setting"/>
      <sheetName val="1"/>
      <sheetName val="AllPts-541-0832-02"/>
      <sheetName val="B.O.M."/>
      <sheetName val="C۽"/>
      <sheetName val="Q#3839 Indented Bom d"/>
      <sheetName val="Cost_Breakdown"/>
      <sheetName val="FCT repair data"/>
      <sheetName val="Defect root cause analysis"/>
      <sheetName val="Tables"/>
      <sheetName val="INPUTS"/>
      <sheetName val="LaborDetail"/>
      <sheetName val="DEFAULTS-Override"/>
      <sheetName val="MaterialDetail"/>
      <sheetName val="P &amp; L"/>
      <sheetName val="P&amp;LDetail"/>
      <sheetName val="LP1 Shipment"/>
      <sheetName val="半成品"/>
      <sheetName val="靶材分配比例"/>
      <sheetName val="Data_Init"/>
      <sheetName val="Data_HR"/>
      <sheetName val="HDCTEXP "/>
      <sheetName val="Control"/>
      <sheetName val="SPM Units"/>
      <sheetName val="N-3"/>
      <sheetName val="VAM Report Input"/>
      <sheetName val="Version Control"/>
      <sheetName val=""/>
      <sheetName val="129_COA"/>
      <sheetName val="Fcst SALES"/>
      <sheetName val="Cover sheet"/>
      <sheetName val="STDVGL"/>
      <sheetName val="Headcount"/>
      <sheetName val="FLX Consolflxidated"/>
      <sheetName val="X"/>
      <sheetName val="CoverPage"/>
      <sheetName val="Demand_051704"/>
      <sheetName val="Commit by Qtr"/>
      <sheetName val="Ramp-up Prod KLf pro Woche "/>
      <sheetName val="Data Validation"/>
      <sheetName val="Tester Quote"/>
      <sheetName val="Lists"/>
      <sheetName val="Market Module"/>
      <sheetName val="040W資料庫"/>
      <sheetName val="076W資料庫"/>
      <sheetName val="Data Input "/>
      <sheetName val="Saturn MVB bom_Aug.18'08"/>
      <sheetName val="FB Tooling List 1210"/>
      <sheetName val="Sheet4"/>
      <sheetName val="DELL_Schedule"/>
      <sheetName val="2003 Target"/>
      <sheetName val="2003 prod2"/>
      <sheetName val="Hourly Rate"/>
      <sheetName val="Palm Q402 Price File"/>
      <sheetName val="Palm Targets"/>
      <sheetName val="Panel list"/>
      <sheetName val="Lookup Tables"/>
      <sheetName val="eBOM"/>
      <sheetName val="reference"/>
      <sheetName val="LINE A"/>
      <sheetName val="LINE K"/>
      <sheetName val="Sales Forecast"/>
      <sheetName val="TopandBtmsideSMT"/>
      <sheetName val="BoxBuild"/>
      <sheetName val="ManualAssyandWaveSolder"/>
      <sheetName val="AI"/>
      <sheetName val="Test"/>
      <sheetName val="FinalAssy"/>
      <sheetName val="Offline"/>
      <sheetName val="Packing"/>
      <sheetName val="Prep"/>
      <sheetName val="C۽_x005f_x0000_tents"/>
      <sheetName val="LSS"/>
      <sheetName val="IDX"/>
      <sheetName val="期初B"/>
      <sheetName val="Material List"/>
      <sheetName val="MFG1"/>
      <sheetName val="GRACE"/>
      <sheetName val="model"/>
      <sheetName val="Commodity"/>
      <sheetName val="Information"/>
      <sheetName val="BF3_FBOM"/>
      <sheetName val="2E998"/>
      <sheetName val="part_costs"/>
      <sheetName val="Parameter"/>
      <sheetName val="BaseData"/>
      <sheetName val="SupplierBaseInput"/>
      <sheetName val="Labor Rate Detail-Arthur"/>
      <sheetName val="OS_Country_Kit"/>
      <sheetName val="Production_Build_2-161"/>
      <sheetName val="BOM_Cover1"/>
      <sheetName val="BOM_Rev_131"/>
      <sheetName val="BOM_Info_Rev_12a1"/>
      <sheetName val="Sheet_Metal-Hard_Tool1"/>
      <sheetName val="New_Issues1"/>
      <sheetName val="Issues_List1"/>
      <sheetName val="Receiving_Inspection1"/>
      <sheetName val="P&amp;LOEM_&amp;_FG"/>
      <sheetName val="Master_Lists"/>
      <sheetName val="Data_lists1"/>
      <sheetName val="P&amp;L_wCorpAlloc1"/>
      <sheetName val="Summarized_P&amp;L1"/>
      <sheetName val="General_Instructions1"/>
      <sheetName val="Master_List1"/>
      <sheetName val="A__產業車輛故障項目核對結果"/>
      <sheetName val="L2-車輛詳細資料_"/>
      <sheetName val="Sum_Sheet"/>
      <sheetName val="SCM AV data"/>
      <sheetName val="C۽tents"/>
      <sheetName val="I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Dashboard"/>
      <sheetName val="Contacts"/>
      <sheetName val="Production Build 2-16"/>
      <sheetName val="BOM Cover"/>
      <sheetName val="BOM Rev 13"/>
      <sheetName val="BOM Info Rev 12a"/>
      <sheetName val="Summary"/>
      <sheetName val="Sheet Metal-Hard Tool"/>
      <sheetName val="Plastics"/>
      <sheetName val="Assemblies"/>
      <sheetName val="Purchased-All"/>
      <sheetName val="New Issues"/>
      <sheetName val="Issues List"/>
      <sheetName val="Sheet1"/>
      <sheetName val="choose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chedule-Reconfirm"/>
      <sheetName val="InstructionsAndTs&amp;Cs"/>
      <sheetName val="OriginalCopy-DoNotEdit"/>
      <sheetName val="choose lis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Dashboard"/>
      <sheetName val="Contacts"/>
      <sheetName val="Production Build 2-16"/>
      <sheetName val="BOM Cover"/>
      <sheetName val="BOM Rev 13"/>
      <sheetName val="BOM Info Rev 12a"/>
      <sheetName val="Summary"/>
      <sheetName val="Sheet Metal-Hard Tool"/>
      <sheetName val="Plastics"/>
      <sheetName val="Assemblies"/>
      <sheetName val="Purchased-All"/>
      <sheetName val="New Issues"/>
      <sheetName val="Issues List"/>
      <sheetName val="Sheet1"/>
      <sheetName val="Warrant"/>
      <sheetName val="Assembly BOM"/>
      <sheetName val="FAI"/>
      <sheetName val="Cpk"/>
      <sheetName val="GR&amp;R"/>
      <sheetName val="PFD"/>
      <sheetName val="PMP"/>
      <sheetName val="PFMEA"/>
      <sheetName val="customer drawing"/>
      <sheetName val="supplier drawing"/>
      <sheetName val="Material Certification"/>
      <sheetName val="Package method"/>
      <sheetName val="reliability test report"/>
      <sheetName val="Rohs management list"/>
      <sheetName val="Rohs test report"/>
      <sheetName val="SGS"/>
      <sheetName val="All"/>
      <sheetName val="FA-LISTING"/>
      <sheetName val="Data lists"/>
      <sheetName val="Receiving Inspection"/>
      <sheetName val="1492分攤"/>
      <sheetName val="Valores"/>
      <sheetName val="Macro1"/>
      <sheetName val="ISRDATA"/>
      <sheetName val="IP-1 INSP-CAV #2"/>
      <sheetName val="Nimitz Base Cover"/>
      <sheetName val="差异分攤"/>
      <sheetName val="Root causes"/>
      <sheetName val="Call Down Data OLD"/>
      <sheetName val="I Input Template"/>
      <sheetName val="Saturn MVB bom_Aug.18'08"/>
      <sheetName val="Supplier Base Input"/>
      <sheetName val="Price Summary"/>
      <sheetName val="Production_Build_2-16"/>
      <sheetName val="BOM_Cover"/>
      <sheetName val="BOM_Rev_13"/>
      <sheetName val="BOM_Info_Rev_12a"/>
      <sheetName val="Sheet_Metal-Hard_Tool"/>
      <sheetName val="New_Issues"/>
      <sheetName val="Issues_List"/>
      <sheetName val="Assembly_BOM"/>
      <sheetName val="customer_drawing"/>
      <sheetName val="supplier_drawing"/>
      <sheetName val="Material_Certification"/>
      <sheetName val="Package_method"/>
      <sheetName val="reliability_test_report"/>
      <sheetName val="Rohs_management_list"/>
      <sheetName val="Rohs_test_report"/>
      <sheetName val="Data_lists"/>
      <sheetName val="Receiving_Inspection"/>
      <sheetName val="IP-1_INSP-CAV_#2"/>
      <sheetName val="Root_causes"/>
      <sheetName val="Nimitz_Base_Cover"/>
      <sheetName val="Call_Down_Data_OLD"/>
      <sheetName val="I_Input_Template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Sheet2"/>
      <sheetName val=" Quotation sheet"/>
      <sheetName val="SBB Table"/>
      <sheetName val="#REF"/>
      <sheetName val="Summary Design-Proto"/>
      <sheetName val="FB Tooling List 1210"/>
      <sheetName val="Sheet4"/>
      <sheetName val="DELL_Schedule"/>
      <sheetName val="2003 Target"/>
      <sheetName val="2003 prod2"/>
      <sheetName val="Hourly Rate"/>
      <sheetName val="Setting"/>
      <sheetName val="Pivot"/>
      <sheetName val="Data_Init"/>
      <sheetName val="Data_HR"/>
      <sheetName val="Entry"/>
      <sheetName val="Shot"/>
      <sheetName val="PL-All"/>
      <sheetName val="Workings"/>
      <sheetName val="Macaron Tooling"/>
      <sheetName val="주행"/>
      <sheetName val="RickelsRFQPWA# 2"/>
      <sheetName val="MB Costed Bom PV"/>
      <sheetName val="生產計劃"/>
      <sheetName val="BOXSTER Planner Rev X1"/>
      <sheetName val="ship kit"/>
      <sheetName val="Guava Bulk"/>
      <sheetName val="Risk Codes"/>
      <sheetName val="Demand_051704"/>
      <sheetName val="4048"/>
      <sheetName val="Assy"/>
      <sheetName val="129 COA"/>
      <sheetName val="129_COA"/>
      <sheetName val="FLX Consolflxidated"/>
      <sheetName val="X"/>
      <sheetName val="Fcst SALES"/>
      <sheetName val="Cover sheet"/>
      <sheetName val="STDVGL"/>
      <sheetName val="Headcount"/>
      <sheetName val="All Parts"/>
      <sheetName val="P&amp;L wCorpAlloc"/>
      <sheetName val="Carlin-G costbom"/>
      <sheetName val="All_Parts"/>
      <sheetName val="P&amp;L_wCorpAlloc"/>
      <sheetName val="Carlin-G_costbom"/>
      <sheetName val="DBL LPG시험"/>
      <sheetName val="Rates"/>
      <sheetName val="Price Model"/>
      <sheetName val="DBL_LPG시험"/>
      <sheetName val="Price_Model"/>
      <sheetName val="Palm"/>
      <sheetName val="P&amp;L"/>
      <sheetName val="대외공문"/>
      <sheetName val="0414data"/>
      <sheetName val="#REF!"/>
      <sheetName val="Summarized P&amp;L"/>
      <sheetName val="LIST"/>
      <sheetName val="QuoteSummary"/>
      <sheetName val="General Instructions"/>
      <sheetName val="Definition"/>
      <sheetName val="Master List"/>
      <sheetName val="FA_LISTING"/>
      <sheetName val="Master Lists"/>
      <sheetName val="Cost Breakdown"/>
      <sheetName val="Summarized_P&amp;L"/>
      <sheetName val="General_Instructions"/>
      <sheetName val="Master_List"/>
      <sheetName val="Nov"/>
      <sheetName val="Q#3839 Indented Bom d"/>
      <sheetName val="MOH-April"/>
      <sheetName val="VAM Report Input"/>
      <sheetName val="code"/>
      <sheetName val="FCT repair data"/>
      <sheetName val="FA"/>
      <sheetName val="A  產業車輛故障項目核對結果"/>
      <sheetName val="L2-車輛詳細資料 "/>
      <sheetName val="0518"/>
      <sheetName val="C۽"/>
      <sheetName val="New Workings"/>
      <sheetName val="P&amp;LOEM &amp; FG"/>
      <sheetName val="1"/>
      <sheetName val="AllPts-541-0832-02"/>
      <sheetName val="B.O.M."/>
      <sheetName val="Cost_Breakdown"/>
      <sheetName val="Defect root cause analysis"/>
      <sheetName val="Tables"/>
      <sheetName val="INPUTS"/>
      <sheetName val="LaborDetail"/>
      <sheetName val="DEFAULTS-Override"/>
      <sheetName val="MaterialDetail"/>
      <sheetName val="P &amp; L"/>
      <sheetName val="P&amp;LDetail"/>
      <sheetName val="HDCTEXP "/>
      <sheetName val="Control"/>
      <sheetName val="SPM Units"/>
      <sheetName val="LP1 Shipment"/>
      <sheetName val="半成品"/>
      <sheetName val="靶材分配比例"/>
      <sheetName val="N-3"/>
      <sheetName val="Version Control"/>
      <sheetName val=""/>
      <sheetName val="040W資料庫"/>
      <sheetName val="076W資料庫"/>
      <sheetName val="Data Input "/>
      <sheetName val="Ramp-up Prod KLf pro Woche "/>
      <sheetName val="Tester Quote"/>
      <sheetName val="Palm Q402 Price File"/>
      <sheetName val="Palm Targets"/>
      <sheetName val="Panel list"/>
      <sheetName val="C۽_x005f_x0000_tents"/>
      <sheetName val="CoverPage"/>
      <sheetName val="Commit by Qtr"/>
      <sheetName val="reference"/>
      <sheetName val="Quote Data"/>
      <sheetName val="Lookup Tables"/>
      <sheetName val="Assessments"/>
      <sheetName val="Sheet3"/>
      <sheetName val="Lists"/>
      <sheetName val="Blf2+LOM cost bom_080902"/>
      <sheetName val="Market Module"/>
      <sheetName val="Data Validation"/>
      <sheetName val="part_costs"/>
      <sheetName val="LINE A"/>
      <sheetName val="LINE K"/>
      <sheetName val="Parameter"/>
      <sheetName val="iRUGO Event Validation"/>
      <sheetName val="MPM"/>
      <sheetName val="Production_Build_2-161"/>
      <sheetName val="BOM_Cover1"/>
      <sheetName val="BOM_Rev_131"/>
      <sheetName val="BOM_Info_Rev_12a1"/>
      <sheetName val="Sheet_Metal-Hard_Tool1"/>
      <sheetName val="New_Issues1"/>
      <sheetName val="Issues_List1"/>
      <sheetName val="Assembly_BOM1"/>
      <sheetName val="customer_drawing1"/>
      <sheetName val="supplier_drawing1"/>
      <sheetName val="Material_Certification1"/>
      <sheetName val="Package_method1"/>
      <sheetName val="reliability_test_report1"/>
      <sheetName val="Rohs_management_list1"/>
      <sheetName val="Rohs_test_report1"/>
      <sheetName val="Receiving_Inspection1"/>
      <sheetName val="Data_lists1"/>
      <sheetName val="IP-1_INSP-CAV_#21"/>
      <sheetName val="Nimitz_Base_Cover1"/>
      <sheetName val="Root_causes1"/>
      <sheetName val="Call_Down_Data_OLD1"/>
      <sheetName val="I_Input_Template1"/>
      <sheetName val="Supplier_Base_Input"/>
      <sheetName val="Price_Summary"/>
      <sheetName val="2003_Target"/>
      <sheetName val="2003_prod2"/>
      <sheetName val="期初B"/>
      <sheetName val="LAPL Act Trend"/>
      <sheetName val="BF3 MB cost _0708 from MSL"/>
      <sheetName val="WW Comet"/>
      <sheetName val="Keyb."/>
      <sheetName val="Common"/>
      <sheetName val="10"/>
      <sheetName val="Tsubaki_LP1.0"/>
      <sheetName val="Cosmos_LP1.0"/>
      <sheetName val="Tsubaki_LP1.1"/>
      <sheetName val="Cosmos_LP1.1"/>
      <sheetName val="Condition"/>
      <sheetName val="回収計算"/>
      <sheetName val="ＮＮ"/>
      <sheetName val="A"/>
      <sheetName val="SD2-1"/>
      <sheetName val="SD-0 C提 "/>
      <sheetName val="Matrix Name"/>
      <sheetName val="Transmission "/>
      <sheetName val="IDX"/>
      <sheetName val="major"/>
      <sheetName val="MFG1"/>
      <sheetName val="GRACE"/>
      <sheetName val="Material List"/>
      <sheetName val="ｴﾚｷ"/>
      <sheetName val="2015 MoM"/>
      <sheetName val="Sandler EK FBOM_A00"/>
      <sheetName val="C۽t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6"/>
  <sheetViews>
    <sheetView showGridLines="0" tabSelected="1" zoomScale="80" zoomScaleNormal="80" workbookViewId="0">
      <pane xSplit="4" ySplit="2" topLeftCell="E3" activePane="bottomRight" state="frozen"/>
      <selection pane="topRight"/>
      <selection pane="bottomLeft"/>
      <selection pane="bottomRight" activeCell="O3" sqref="O3"/>
    </sheetView>
  </sheetViews>
  <sheetFormatPr defaultColWidth="9.08984375" defaultRowHeight="15.5" x14ac:dyDescent="0.25"/>
  <cols>
    <col min="1" max="1" width="2.36328125" style="4" customWidth="1"/>
    <col min="2" max="2" width="4.26953125" style="4" customWidth="1"/>
    <col min="3" max="3" width="14.36328125" style="3" customWidth="1"/>
    <col min="4" max="4" width="7.26953125" style="3" customWidth="1"/>
    <col min="5" max="5" width="14.81640625" style="3" customWidth="1"/>
    <col min="6" max="6" width="8.54296875" style="3" customWidth="1"/>
    <col min="7" max="7" width="6.54296875" style="3" customWidth="1"/>
    <col min="8" max="8" width="7.81640625" style="3" customWidth="1"/>
    <col min="9" max="9" width="7.453125" style="5" customWidth="1"/>
    <col min="10" max="10" width="6.36328125" style="3" customWidth="1"/>
    <col min="11" max="11" width="8" style="3" customWidth="1"/>
    <col min="12" max="12" width="9.6328125" style="3" customWidth="1"/>
    <col min="13" max="13" width="5.26953125" style="3" customWidth="1"/>
    <col min="14" max="14" width="7.81640625" style="3" customWidth="1"/>
    <col min="15" max="15" width="7.453125" style="3" customWidth="1"/>
    <col min="16" max="16" width="10" style="3" customWidth="1"/>
    <col min="17" max="17" width="5.90625" style="5" customWidth="1"/>
    <col min="18" max="19" width="8.08984375" style="6" customWidth="1"/>
    <col min="20" max="20" width="7.6328125" style="3" customWidth="1"/>
    <col min="21" max="21" width="6.54296875" style="3" customWidth="1"/>
    <col min="22" max="22" width="8.6328125" style="7" customWidth="1"/>
    <col min="23" max="23" width="9.6328125" style="3" customWidth="1"/>
    <col min="24" max="24" width="10.26953125" style="3" customWidth="1"/>
    <col min="25" max="25" width="9.6328125" style="8" customWidth="1"/>
    <col min="26" max="16384" width="9.08984375" style="3"/>
  </cols>
  <sheetData>
    <row r="1" spans="1:26" ht="35" customHeight="1" x14ac:dyDescent="0.25">
      <c r="C1" s="41"/>
      <c r="D1" s="42"/>
      <c r="E1" s="42"/>
      <c r="F1" s="43"/>
      <c r="G1" s="44" t="s">
        <v>0</v>
      </c>
      <c r="H1" s="45"/>
      <c r="I1" s="46"/>
      <c r="J1" s="44" t="s">
        <v>22</v>
      </c>
      <c r="K1" s="45"/>
      <c r="L1" s="47"/>
      <c r="M1" s="48" t="s">
        <v>1</v>
      </c>
      <c r="N1" s="45"/>
      <c r="O1" s="47"/>
      <c r="P1" s="9" t="s">
        <v>2</v>
      </c>
      <c r="Q1" s="49" t="s">
        <v>20</v>
      </c>
      <c r="R1" s="50"/>
      <c r="S1" s="51"/>
      <c r="T1" s="52" t="s">
        <v>3</v>
      </c>
      <c r="U1" s="50"/>
      <c r="V1" s="50"/>
      <c r="W1" s="53"/>
      <c r="X1" s="10"/>
      <c r="Y1" s="3"/>
    </row>
    <row r="2" spans="1:26" s="1" customFormat="1" ht="46.5" x14ac:dyDescent="0.25">
      <c r="A2" s="11"/>
      <c r="B2" s="11"/>
      <c r="C2" s="12" t="s">
        <v>4</v>
      </c>
      <c r="D2" s="12" t="s">
        <v>5</v>
      </c>
      <c r="E2" s="12" t="s">
        <v>6</v>
      </c>
      <c r="F2" s="12" t="s">
        <v>7</v>
      </c>
      <c r="G2" s="13" t="s">
        <v>21</v>
      </c>
      <c r="H2" s="14" t="s">
        <v>9</v>
      </c>
      <c r="I2" s="15" t="s">
        <v>10</v>
      </c>
      <c r="J2" s="13" t="s">
        <v>8</v>
      </c>
      <c r="K2" s="14" t="s">
        <v>9</v>
      </c>
      <c r="L2" s="16" t="s">
        <v>10</v>
      </c>
      <c r="M2" s="17" t="s">
        <v>8</v>
      </c>
      <c r="N2" s="14" t="s">
        <v>9</v>
      </c>
      <c r="O2" s="16" t="s">
        <v>10</v>
      </c>
      <c r="P2" s="18" t="s">
        <v>10</v>
      </c>
      <c r="Q2" s="19" t="s">
        <v>8</v>
      </c>
      <c r="R2" s="20" t="s">
        <v>9</v>
      </c>
      <c r="S2" s="21" t="s">
        <v>10</v>
      </c>
      <c r="T2" s="17" t="s">
        <v>11</v>
      </c>
      <c r="U2" s="20" t="s">
        <v>8</v>
      </c>
      <c r="V2" s="15" t="s">
        <v>9</v>
      </c>
      <c r="W2" s="22" t="s">
        <v>10</v>
      </c>
      <c r="X2" s="23" t="s">
        <v>12</v>
      </c>
      <c r="Y2" s="23" t="s">
        <v>13</v>
      </c>
    </row>
    <row r="3" spans="1:26" s="2" customFormat="1" ht="25" customHeight="1" x14ac:dyDescent="0.25">
      <c r="A3" s="24"/>
      <c r="B3" s="24">
        <v>1</v>
      </c>
      <c r="C3" s="25" t="s">
        <v>14</v>
      </c>
      <c r="D3" s="26">
        <v>2</v>
      </c>
      <c r="E3" s="27" t="s">
        <v>15</v>
      </c>
      <c r="F3" s="28">
        <v>1000</v>
      </c>
      <c r="G3" s="29">
        <v>2</v>
      </c>
      <c r="H3" s="29">
        <v>687.5</v>
      </c>
      <c r="I3" s="29">
        <f t="shared" ref="I3" si="0">G3*H3</f>
        <v>1375</v>
      </c>
      <c r="J3" s="29">
        <v>90</v>
      </c>
      <c r="K3" s="29">
        <v>440</v>
      </c>
      <c r="L3" s="29">
        <f>J3*K3</f>
        <v>39600</v>
      </c>
      <c r="M3" s="29" t="s">
        <v>16</v>
      </c>
      <c r="N3" s="29"/>
      <c r="O3" s="29"/>
      <c r="P3" s="30">
        <f>SUMIFS($F$5:$F$7,$G$5:$G$7,B3)</f>
        <v>1540</v>
      </c>
      <c r="Q3" s="29">
        <v>1</v>
      </c>
      <c r="R3" s="29">
        <v>70000</v>
      </c>
      <c r="S3" s="29">
        <f t="shared" ref="S3" si="1">Q3*R3</f>
        <v>70000</v>
      </c>
      <c r="T3" s="31">
        <v>663.96</v>
      </c>
      <c r="U3" s="32">
        <v>3</v>
      </c>
      <c r="V3" s="33">
        <v>54995</v>
      </c>
      <c r="W3" s="34">
        <f t="shared" ref="W3" si="2">U3*V3</f>
        <v>164985</v>
      </c>
      <c r="X3" s="30">
        <f t="shared" ref="X3" si="3">SUM(I3,L3,M3,P3,S3:S3,W3,)</f>
        <v>277500</v>
      </c>
      <c r="Y3" s="30">
        <f t="shared" ref="Y3" si="4">X3*1.13</f>
        <v>313574.99999999994</v>
      </c>
      <c r="Z3" s="35" t="s">
        <v>17</v>
      </c>
    </row>
    <row r="4" spans="1:26" s="1" customFormat="1" ht="24" customHeight="1" x14ac:dyDescent="0.25">
      <c r="A4" s="11"/>
      <c r="B4" s="11"/>
      <c r="C4" s="36"/>
      <c r="D4" s="36"/>
      <c r="E4" s="36"/>
      <c r="F4" s="36"/>
      <c r="G4" s="36"/>
      <c r="H4" s="36"/>
      <c r="I4" s="37">
        <f>SUM(I3:I3)</f>
        <v>1375</v>
      </c>
      <c r="J4" s="36"/>
      <c r="K4" s="36"/>
      <c r="L4" s="37">
        <f>SUM(L3:L3)</f>
        <v>39600</v>
      </c>
      <c r="M4" s="36"/>
      <c r="N4" s="36"/>
      <c r="O4" s="36"/>
      <c r="P4" s="37">
        <f>SUM(P3:P3)</f>
        <v>1540</v>
      </c>
      <c r="Q4" s="36"/>
      <c r="R4" s="36"/>
      <c r="S4" s="37">
        <f>SUM(S3:S3)</f>
        <v>70000</v>
      </c>
      <c r="T4" s="38"/>
      <c r="U4" s="38"/>
      <c r="V4" s="36"/>
      <c r="W4" s="37">
        <f>SUM(W3:W3)</f>
        <v>164985</v>
      </c>
      <c r="X4" s="37">
        <f>SUM(X3:X3)</f>
        <v>277500</v>
      </c>
      <c r="Y4" s="37">
        <f>SUM(Y3:Y3)</f>
        <v>313574.99999999994</v>
      </c>
    </row>
    <row r="5" spans="1:26" x14ac:dyDescent="0.25">
      <c r="C5" s="39" t="s">
        <v>18</v>
      </c>
      <c r="D5" s="40">
        <v>1</v>
      </c>
      <c r="E5" s="40">
        <v>1540</v>
      </c>
      <c r="F5" s="40">
        <f t="shared" ref="F5" si="5">D5*E5</f>
        <v>1540</v>
      </c>
      <c r="G5" s="24" t="s">
        <v>19</v>
      </c>
      <c r="I5" s="3"/>
      <c r="O5" s="5"/>
      <c r="P5" s="6"/>
      <c r="Q5" s="6"/>
      <c r="R5" s="3"/>
      <c r="S5" s="3"/>
      <c r="T5" s="7"/>
      <c r="V5" s="3"/>
      <c r="W5" s="8"/>
      <c r="X5" s="4"/>
      <c r="Y5" s="3"/>
    </row>
    <row r="6" spans="1:26" x14ac:dyDescent="0.25">
      <c r="F6" s="3">
        <f>SUM(F5:F5)</f>
        <v>1540</v>
      </c>
    </row>
  </sheetData>
  <autoFilter ref="A2:Z4" xr:uid="{00000000-0009-0000-0000-000000000000}"/>
  <mergeCells count="6">
    <mergeCell ref="T1:W1"/>
    <mergeCell ref="C1:F1"/>
    <mergeCell ref="G1:I1"/>
    <mergeCell ref="J1:L1"/>
    <mergeCell ref="M1:O1"/>
    <mergeCell ref="Q1:S1"/>
  </mergeCells>
  <phoneticPr fontId="16" type="noConversion"/>
  <conditionalFormatting sqref="E3">
    <cfRule type="expression" dxfId="0" priority="8">
      <formula>#REF!&lt;&gt;""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MP NRE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000019</dc:creator>
  <cp:lastModifiedBy>005017-潘有含</cp:lastModifiedBy>
  <dcterms:created xsi:type="dcterms:W3CDTF">2025-12-16T10:06:00Z</dcterms:created>
  <dcterms:modified xsi:type="dcterms:W3CDTF">2025-12-18T03:20:20Z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881B9FB13F5B4B90970283B31C314B09_11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