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\Quotation\LogicData\"/>
    </mc:Choice>
  </mc:AlternateContent>
  <xr:revisionPtr revIDLastSave="0" documentId="13_ncr:1_{3616F556-5FAD-4AE7-8F47-928D7F4A80CA}" xr6:coauthVersionLast="36" xr6:coauthVersionMax="36" xr10:uidLastSave="{00000000-0000-0000-0000-000000000000}"/>
  <bookViews>
    <workbookView xWindow="0" yWindow="0" windowWidth="20490" windowHeight="7490" tabRatio="793" xr2:uid="{00000000-000D-0000-FFFF-FFFF00000000}"/>
  </bookViews>
  <sheets>
    <sheet name="MVA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">#REF!</definedName>
    <definedName name="__123Graph_ABAL" hidden="1">#REF!</definedName>
    <definedName name="__123Graph_LBL_ABAL" hidden="1">#REF!</definedName>
    <definedName name="__123Graph_XBAL" hidden="1">#REF!</definedName>
    <definedName name="_1_10_7278">#REF!</definedName>
    <definedName name="_10_1001701_7278">#REF!</definedName>
    <definedName name="_11_14_7278">#REF!</definedName>
    <definedName name="_12_43_7278">#REF!</definedName>
    <definedName name="_13_1001139_7278">#REF!</definedName>
    <definedName name="_14_1001138_7278">#REF!</definedName>
    <definedName name="_15_26_7278">#REF!</definedName>
    <definedName name="_16_25_7278">#REF!</definedName>
    <definedName name="_17_27_7278">#REF!</definedName>
    <definedName name="_18_28_7278">#REF!</definedName>
    <definedName name="_19_429_7278">#REF!</definedName>
    <definedName name="_1K1_" hidden="1">{#N/A,#N/A,FALSE,"Sheet1"}</definedName>
    <definedName name="_2_239_7278">#REF!</definedName>
    <definedName name="_20_430_7278">#REF!</definedName>
    <definedName name="_21_1000183_7278">#REF!</definedName>
    <definedName name="_22_203_7278">#REF!</definedName>
    <definedName name="_23_96_7278">#REF!</definedName>
    <definedName name="_24_97_7278">#REF!</definedName>
    <definedName name="_25_201_7278">#REF!</definedName>
    <definedName name="_26_242_7278">#REF!</definedName>
    <definedName name="_27_414_7278">#REF!</definedName>
    <definedName name="_28_434_7278">#REF!</definedName>
    <definedName name="_29_199_7278">#REF!</definedName>
    <definedName name="_3_433_7278">#REF!</definedName>
    <definedName name="_3_Jan">#REF!</definedName>
    <definedName name="_30_16_7278">#REF!</definedName>
    <definedName name="_30_Aug">#REF!</definedName>
    <definedName name="_4_11_7278">#REF!</definedName>
    <definedName name="_5_42_7278">#REF!</definedName>
    <definedName name="_6_241_7278">#REF!</definedName>
    <definedName name="_7_38_7278">#REF!</definedName>
    <definedName name="_8_39_7278">#REF!</definedName>
    <definedName name="_9_16_7278">#REF!</definedName>
    <definedName name="_Fill" hidden="1">#REF!</definedName>
    <definedName name="_Fill." hidden="1">#REF!</definedName>
    <definedName name="_xlnm._FilterDatabase" localSheetId="0" hidden="1">MVA!$A$2:$AB$3</definedName>
    <definedName name="_xlnm._FilterDatabase" hidden="1">'[1]Issues List'!#REF!</definedName>
    <definedName name="_Key1" hidden="1">#REF!</definedName>
    <definedName name="_Key1." hidden="1">#REF!</definedName>
    <definedName name="_Key2" hidden="1">#REF!</definedName>
    <definedName name="_Key2." hidden="1">#REF!</definedName>
    <definedName name="_Order1" hidden="1">255</definedName>
    <definedName name="_Order2" hidden="1">0</definedName>
    <definedName name="_Parse_Out" hidden="1">'[2]Price List'!#REF!</definedName>
    <definedName name="_R65763">#REF!</definedName>
    <definedName name="_R65789">#REF!</definedName>
    <definedName name="_R68720">#REF!</definedName>
    <definedName name="_RJ11">#REF!</definedName>
    <definedName name="_Sort" hidden="1">#REF!</definedName>
    <definedName name="ab" hidden="1">[3]Sheet1!#REF!</definedName>
    <definedName name="ac" hidden="1">[3]OT!#REF!</definedName>
    <definedName name="ad" hidden="1">#REF!</definedName>
    <definedName name="AFill" hidden="1">[4]IA1!$E$7:$W$7</definedName>
    <definedName name="Ardbeg_Info">#REF!</definedName>
    <definedName name="attachment1">#REF!</definedName>
    <definedName name="attachment2">#REF!</definedName>
    <definedName name="AU" hidden="1">{"'sheet(22) (22)'!$A$64:$K$79"}</definedName>
    <definedName name="BM">'[5]choose list'!$A$2:$A$16</definedName>
    <definedName name="body1">#REF!</definedName>
    <definedName name="bom_smt_3">#REF!</definedName>
    <definedName name="Brew_mech">#REF!</definedName>
    <definedName name="Carol" hidden="1">{#N/A,#N/A,FALSE,"Sheet1"}</definedName>
    <definedName name="Carry">#REF!</definedName>
    <definedName name="Carry_1">'[6]8866-960001-02'!#REF!</definedName>
    <definedName name="Classification">[7]Severity!$A$15:$A$17</definedName>
    <definedName name="ComponentType">'[8]Final Sheet'!#REF!</definedName>
    <definedName name="csDesignMode">1</definedName>
    <definedName name="da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5">#REF!</definedName>
    <definedName name="_xlnm.Database">#REF!</definedName>
    <definedName name="DateFG0">'[9]Act Built'!$A$2:$IV$2</definedName>
    <definedName name="de3f2" hidden="1">{#N/A,#N/A,FALSE,"Sheet1"}</definedName>
    <definedName name="demand">[10]Combined!$A$6:$AU$94</definedName>
    <definedName name="Detection_1">'[7]Detection &amp; Prevention'!$E$4:$E$14</definedName>
    <definedName name="ds" hidden="1">#REF!</definedName>
    <definedName name="ED" hidden="1">{"'sheet(22) (22)'!$A$64:$K$79"}</definedName>
    <definedName name="EO_Mech">#REF!</definedName>
    <definedName name="erase" hidden="1">[3]Sheet1!$E$39:$E$43</definedName>
    <definedName name="eraseme" hidden="1">[3]Sheet1!#REF!</definedName>
    <definedName name="Exchange_rate">#REF!</definedName>
    <definedName name="Factor">#REF!</definedName>
    <definedName name="fdsfsdfdsf" hidden="1">'[11]Issues List'!#REF!</definedName>
    <definedName name="Fecha">#REF!</definedName>
    <definedName name="FINALIZED_PRINT_AREA">#REF!</definedName>
    <definedName name="formfactor">'[5]choose list'!$B$2:$B$32</definedName>
    <definedName name="Fremont">'[12]Reschedule-Reconfirm'!$A$64:$A$65</definedName>
    <definedName name="frfrgw" hidden="1">{#N/A,#N/A,FALSE,"Sheet1"}</definedName>
    <definedName name="FRU">#REF!</definedName>
    <definedName name="Generate_Forecast_Feed_for_Date">#REF!</definedName>
    <definedName name="Generate_Request_Feed_for_Date">#REF!</definedName>
    <definedName name="Glen_Ord_Info">#REF!</definedName>
    <definedName name="Header_Codes">#REF!</definedName>
    <definedName name="hhjhh" hidden="1">'[11]Issues List'!#REF!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[13]IA1!$D$7:$N$7</definedName>
    <definedName name="Jason">#REF!</definedName>
    <definedName name="JEFF">#REF!</definedName>
    <definedName name="jkjij" hidden="1">'[11]Issues List'!#REF!</definedName>
    <definedName name="k" hidden="1">{#N/A,#N/A,FALSE,"Sheet1"}</definedName>
    <definedName name="Keyboard">#REF!</definedName>
    <definedName name="Language_Keyboards">#REF!</definedName>
    <definedName name="Line_Cord">#REF!</definedName>
    <definedName name="liteon" hidden="1">#REF!</definedName>
    <definedName name="lkpokop" hidden="1">{#N/A,#N/A,FALSE,"Sheet1"}</definedName>
    <definedName name="Memory">#REF!</definedName>
    <definedName name="Modem">#REF!</definedName>
    <definedName name="Motherboard">#REF!</definedName>
    <definedName name="NBD">'[14]choose list'!$G$2:$G$4</definedName>
    <definedName name="OB">#REF!</definedName>
    <definedName name="OBCDDDD">#REF!</definedName>
    <definedName name="Occurrence_1">[7]Occurrence!$F$4:$F$14</definedName>
    <definedName name="Odyssey_Memory">#REF!</definedName>
    <definedName name="Odyssey_Optical_Drives">#REF!</definedName>
    <definedName name="olj" hidden="1">{#N/A,#N/A,FALSE,"Sheet1"}</definedName>
    <definedName name="Operator">#REF!</definedName>
    <definedName name="Optical">#REF!</definedName>
    <definedName name="OXM">'[5]choose list'!$E$2:$E$5</definedName>
    <definedName name="part" hidden="1">'[15]Issues List'!#REF!</definedName>
    <definedName name="Parts_Specific_to_Brewster">#REF!</definedName>
    <definedName name="Parts_Specific_to_Eastham_and_Orleans">#REF!</definedName>
    <definedName name="Pla" hidden="1">'[1]Issues List'!#REF!</definedName>
    <definedName name="Planar">#REF!</definedName>
    <definedName name="Power_Brick">#REF!</definedName>
    <definedName name="Power_Cord">#REF!</definedName>
    <definedName name="_xlnm.Print_Area">#REF!</definedName>
    <definedName name="Print_Jeff">#REF!</definedName>
    <definedName name="PRINTAREA">#REF!</definedName>
    <definedName name="Reas">'[16]Reschedule-Reconfirm'!$A$68:$A$81</definedName>
    <definedName name="RJ11_Connectors">#REF!</definedName>
    <definedName name="rngxl2">#REF!</definedName>
    <definedName name="segfdfhgf" hidden="1">'[17]Issues List'!#REF!</definedName>
    <definedName name="Severity_1">[7]Severity!$D$4:$D$14</definedName>
    <definedName name="SMT_A2">#REF!</definedName>
    <definedName name="SMT_A2_1">'[6]8866-960001-02'!#REF!</definedName>
    <definedName name="SMT_G">#REF!</definedName>
    <definedName name="SMT_G_1">'[6]8866-960001-02'!#REF!</definedName>
    <definedName name="SMT_H">#REF!</definedName>
    <definedName name="SMT_H_1">'[6]8866-960001-02'!#REF!</definedName>
    <definedName name="SMT_JQR線">#REF!</definedName>
    <definedName name="SMT_JQR線_1">'[6]8866-960001-02'!#REF!</definedName>
    <definedName name="SMT_KA1">#REF!</definedName>
    <definedName name="SMT_KA1_1">'[6]8866-960001-02'!#REF!</definedName>
    <definedName name="SMT_L11">#REF!</definedName>
    <definedName name="SMT_L11_1">'[6]8866-960001-02'!#REF!</definedName>
    <definedName name="SMT_MN">#REF!</definedName>
    <definedName name="SMT_MN_1">'[6]8866-960001-02'!#REF!</definedName>
    <definedName name="SMT_零_件_總_數">#REF!</definedName>
    <definedName name="Soft_Modem">#REF!</definedName>
    <definedName name="Speakers">#REF!</definedName>
    <definedName name="Speyburn2_Info">#REF!</definedName>
    <definedName name="ss">#REF!</definedName>
    <definedName name="ssci_with_pending">#REF!</definedName>
    <definedName name="status">'[5]choose list'!$F$2:$F$5</definedName>
    <definedName name="Stewart2">#REF!</definedName>
    <definedName name="TableName">"Dummy"</definedName>
    <definedName name="technology">'[5]choose list'!$C$2:$C$17</definedName>
    <definedName name="Tormore_Info">#REF!</definedName>
    <definedName name="TP">'[5]choose list'!$D$2:$D$19</definedName>
    <definedName name="User">'[16]Reschedule-Reconfirm'!$A$64:$A$65</definedName>
    <definedName name="USI">#REF!</definedName>
    <definedName name="w" hidden="1">#REF!</definedName>
    <definedName name="wq">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Z_06685B21_AA05_11D2_AA72_00C04FCC440D_.wvu.Cols" hidden="1">#REF!</definedName>
    <definedName name="Z_06685B21_AA05_11D2_AA72_00C04FCC440D_.wvu.PrintArea" hidden="1">#REF!</definedName>
    <definedName name="Z_06685B21_AA05_11D2_AA72_00C04FCC440D_.wvu.Rows" hidden="1">#REF!</definedName>
    <definedName name="插件單元工時一覽表">#REF!</definedName>
    <definedName name="得" hidden="1">{"'sheet(22) (22)'!$A$64:$K$79"}</definedName>
    <definedName name="紅膠點膠數量">#REF!</definedName>
    <definedName name="紅膠點膠數量_1">'[6]8866-960001-02'!#REF!</definedName>
    <definedName name="裂片數">#REF!</definedName>
    <definedName name="正背面點膠點數">#REF!</definedName>
    <definedName name="正背面點膠點數_1">'[6]8866-960001-02'!#REF!</definedName>
  </definedNames>
  <calcPr calcId="191029"/>
</workbook>
</file>

<file path=xl/calcChain.xml><?xml version="1.0" encoding="utf-8"?>
<calcChain xmlns="http://schemas.openxmlformats.org/spreadsheetml/2006/main">
  <c r="S3" i="15" l="1"/>
  <c r="L3" i="15"/>
  <c r="W3" i="15"/>
  <c r="U3" i="15"/>
  <c r="N3" i="15"/>
  <c r="P3" i="15" s="1"/>
  <c r="X3" i="15" s="1"/>
  <c r="J3" i="15"/>
  <c r="I3" i="15"/>
  <c r="H3" i="15"/>
  <c r="G3" i="15"/>
  <c r="T3" i="15" l="1"/>
  <c r="Y3" i="15"/>
  <c r="Z3" i="15" s="1"/>
</calcChain>
</file>

<file path=xl/sharedStrings.xml><?xml version="1.0" encoding="utf-8"?>
<sst xmlns="http://schemas.openxmlformats.org/spreadsheetml/2006/main" count="28" uniqueCount="27">
  <si>
    <t>Testing</t>
  </si>
  <si>
    <t>Program Name</t>
  </si>
  <si>
    <t>Size (mm) Single</t>
  </si>
  <si>
    <t>Monthly FCST</t>
  </si>
  <si>
    <t>SMT Working Time (s)</t>
  </si>
  <si>
    <t>ASM Working Time (s)</t>
  </si>
  <si>
    <t>Routing/Pressfit Working Time (s)</t>
  </si>
  <si>
    <t>Packing Working Time (s)</t>
  </si>
  <si>
    <t>ICT Testing Time (s)</t>
  </si>
  <si>
    <t>FCT Testing Time (s)</t>
  </si>
  <si>
    <t>Handling</t>
  </si>
  <si>
    <t>Total Time (s) -DL</t>
  </si>
  <si>
    <t>U/P (US$) -DL (hr)</t>
  </si>
  <si>
    <t>Total DL Cost (US$)</t>
  </si>
  <si>
    <t>Total Time (s) -OH</t>
  </si>
  <si>
    <t>U/P (US$) -OH (hr)</t>
  </si>
  <si>
    <t>Total OH Cost (US$)</t>
  </si>
  <si>
    <t>DL &amp; OH (US$)</t>
  </si>
  <si>
    <t>BOM</t>
  </si>
  <si>
    <r>
      <rPr>
        <b/>
        <sz val="13"/>
        <rFont val="Calibri"/>
        <family val="2"/>
      </rPr>
      <t xml:space="preserve">Loss
</t>
    </r>
    <r>
      <rPr>
        <sz val="13"/>
        <rFont val="Calibri"/>
        <family val="2"/>
      </rPr>
      <t>Duty/Manufacture</t>
    </r>
  </si>
  <si>
    <t>OHLH</t>
  </si>
  <si>
    <t>SG&amp;A</t>
  </si>
  <si>
    <t>MVA</t>
  </si>
  <si>
    <t>零件数</t>
  </si>
  <si>
    <t>2U.2</t>
  </si>
  <si>
    <t>77.49*38.4*2.7*</t>
  </si>
  <si>
    <t>Pcs/Panel</t>
    <phoneticPr fontId="49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</si>
</sst>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2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-404]General"/>
    <numFmt numFmtId="181" formatCode="\$#,##0\ ;[Red]&quot;$(&quot;#,##0\)"/>
    <numFmt numFmtId="182" formatCode="&quot;Revised &quot;m/d/yy\ h:mm"/>
    <numFmt numFmtId="183" formatCode="0\ %;\(0\)%"/>
    <numFmt numFmtId="184" formatCode="&quot; $&quot;#,##0.0\ ;&quot; $(&quot;#,##0.0\);&quot; $-   &quot;;@\ "/>
    <numFmt numFmtId="185" formatCode="_(* #,##0_);_(* \(#,##0\);_(* &quot;-&quot;_);_(@_)"/>
    <numFmt numFmtId="186" formatCode="0.0%"/>
    <numFmt numFmtId="187" formatCode="[$-409]mmmm\ d\,\ yyyy;@"/>
    <numFmt numFmtId="188" formatCode="[$-409]dd/mmm/yy;@"/>
    <numFmt numFmtId="189" formatCode="#,##0.0;[Red]\-#,##0.0"/>
    <numFmt numFmtId="190" formatCode="_ &quot;R &quot;* #,##0.00_ ;_ &quot;R &quot;* \-#,##0.00_ ;_ &quot;R &quot;* \-??_ ;_ @_ "/>
    <numFmt numFmtId="191" formatCode="_(&quot;$&quot;* #,##0.00_);_(&quot;$&quot;* \(#,##0.00\);_(&quot;$&quot;* &quot;-&quot;??_);_(@_)"/>
    <numFmt numFmtId="192" formatCode="_(* #,##0.00_);_(* \(#,##0.00\);_(* &quot;-&quot;??_);_(@_)"/>
    <numFmt numFmtId="193" formatCode="_-* #,##0_-;\-* #,##0_-;_-* \-_-;_-@_-"/>
    <numFmt numFmtId="194" formatCode="_-* #,##0_-;\-* #,##0_-;_-* &quot;-&quot;_-;_-@_-"/>
    <numFmt numFmtId="195" formatCode="_ &quot;\&quot;* #,##0.00_ ;_ &quot;\&quot;* \-#,##0.00_ ;_ &quot;\&quot;* &quot;-&quot;??_ ;_ @_ "/>
    <numFmt numFmtId="196" formatCode="_ &quot;\&quot;* #,##0_ ;_ &quot;\&quot;* \-#,##0_ ;_ &quot;\&quot;* &quot;-&quot;_ ;_ @_ "/>
    <numFmt numFmtId="197" formatCode="_-* #,##0.00_-;_-* #,##0.00\-;_-* &quot;-&quot;??_-;_-@_-"/>
    <numFmt numFmtId="198" formatCode="_-* #,##0_-;_-* #,##0\-;_-* &quot;-&quot;_-;_-@_-"/>
    <numFmt numFmtId="199" formatCode="_-* #,##0.00_-;\-* #,##0.00_-;_-* \-??_-;_-@_-"/>
    <numFmt numFmtId="200" formatCode="_-[$€-2]* #,##0.00_-;\-[$€-2]* #,##0.00_-;_-[$€-2]* &quot;-&quot;??_-"/>
    <numFmt numFmtId="201" formatCode="#,##0.00\ [$€-1];\-#,##0.00\ [$€-1]"/>
    <numFmt numFmtId="202" formatCode="0.0000%"/>
    <numFmt numFmtId="203" formatCode="0.00_)"/>
    <numFmt numFmtId="204" formatCode="_-&quot;?&quot;* #,##0.00_-;\-&quot;?&quot;* #,##0.00_-;_-&quot;?&quot;* &quot;-&quot;??_-;_-@_-"/>
    <numFmt numFmtId="205" formatCode="_-&quot;?&quot;* #,##0_-;\-&quot;?&quot;* #,##0_-;_-&quot;?&quot;* &quot;-&quot;_-;_-@_-"/>
    <numFmt numFmtId="206" formatCode="#,##0,"/>
    <numFmt numFmtId="207" formatCode=";;;"/>
    <numFmt numFmtId="208" formatCode="\##,##0.00;[Red]&quot;\-&quot;#,##0.00"/>
    <numFmt numFmtId="209" formatCode="\##,##0;[Red]&quot;\-&quot;#,##0"/>
    <numFmt numFmtId="210" formatCode="_(&quot;$&quot;* #,##0_);_(&quot;$&quot;* \(#,##0\);_(&quot;$&quot;* &quot;-&quot;_);_(@_)"/>
    <numFmt numFmtId="211" formatCode="_-* #,##0.00\ _F_-;\-* #,##0.00\ _F_-;_-* &quot;-&quot;??\ _F_-;_-@_-"/>
    <numFmt numFmtId="212" formatCode="_-* #,##0\ _F_-;\-* #,##0\ _F_-;_-* &quot;-&quot;\ _F_-;_-@_-"/>
    <numFmt numFmtId="213" formatCode="_-* #,##0.00\ &quot;F&quot;_-;\-* #,##0.00\ &quot;F&quot;_-;_-* &quot;-&quot;??\ &quot;F&quot;_-;_-@_-"/>
    <numFmt numFmtId="214" formatCode="&quot;\&quot;#,##0;[Red]&quot;\&quot;\-#,##0"/>
    <numFmt numFmtId="215" formatCode="_-* #,##0\ &quot;F&quot;_-;\-* #,##0\ &quot;F&quot;_-;_-* &quot;-&quot;\ &quot;F&quot;_-;_-@_-"/>
    <numFmt numFmtId="216" formatCode="&quot;\&quot;#,##0;&quot;\&quot;\-#,##0"/>
    <numFmt numFmtId="217" formatCode="0.000000%"/>
    <numFmt numFmtId="218" formatCode="\$0.0\ ;&quot;$(&quot;0.0\);&quot;$N/A &quot;"/>
    <numFmt numFmtId="219" formatCode="00"/>
    <numFmt numFmtId="220" formatCode="_(* #,##0.00_);_(* \(#,##0.00\);_(* \-??_);_(@_)"/>
    <numFmt numFmtId="221" formatCode="dd\-mmm\-yy"/>
    <numFmt numFmtId="222" formatCode="0.0_)_%;\(0.0\)_%"/>
    <numFmt numFmtId="223" formatCode="dd\ mm\ yy"/>
    <numFmt numFmtId="224" formatCode="&quot;$&quot;* ##0.0\ ;&quot;$&quot;* \(##0.0\);&quot;$&quot;* &quot;N/A &quot;"/>
    <numFmt numFmtId="225" formatCode="\$* ##0.0\ ;\$* \(##0.0\);\$* &quot;N/A &quot;"/>
    <numFmt numFmtId="226" formatCode="&quot;Kč&quot;* ##0.0\ ;&quot;Kč&quot;* \(##0.0\);&quot;Kč&quot;* &quot;N/A &quot;"/>
    <numFmt numFmtId="227" formatCode="m/d"/>
    <numFmt numFmtId="228" formatCode="_(&quot;$&quot;* #,##0_);_(&quot;$&quot;* \(#,##0\);_(&quot;$&quot;* &quot;-  &quot;_);_(@_)"/>
    <numFmt numFmtId="229" formatCode="_(\$* #,##0_);_(\$* \(#,##0\);_(\$* &quot;-  &quot;_);_(@_)"/>
    <numFmt numFmtId="230" formatCode="d/m"/>
    <numFmt numFmtId="231" formatCode="#,##0.000_);[Red]\(#,##0.000\)"/>
    <numFmt numFmtId="232" formatCode="d/m/yy"/>
    <numFmt numFmtId="233" formatCode="#,##0_);[Red]\ \(#,##0\)"/>
    <numFmt numFmtId="234" formatCode="#,##0_);[Red]\(#,##0\)"/>
    <numFmt numFmtId="235" formatCode="d\ mmmm\ yyyy"/>
    <numFmt numFmtId="236" formatCode="#,000"/>
    <numFmt numFmtId="237" formatCode="_(&quot;$&quot;* #,##0.000000_);_(&quot;$&quot;* \(#,##0.000000\);_(&quot;$&quot;* &quot;-&quot;??_);_(@_)"/>
    <numFmt numFmtId="238" formatCode="_(\$* #,##0.000000_);_(\$* \(#,##0.000000\);_(\$* \-??_);_(@_)"/>
    <numFmt numFmtId="239" formatCode="_(\$* #,##0.00_);_(\$* \(#,##0.00\);_(\$* \-??_);_(@_)"/>
    <numFmt numFmtId="240" formatCode="_(&quot;$&quot;* #,##0.00000_);_(&quot;$&quot;* \(#,##0.00000\);_(&quot;$&quot;* &quot;-&quot;??_);_(@_)"/>
    <numFmt numFmtId="241" formatCode="_(\$* #,##0.00000_);_(\$* \(#,##0.00000\);_(\$* \-??_);_(@_)"/>
    <numFmt numFmtId="242" formatCode="m/d/yy\ h:mm\ AM/PM"/>
    <numFmt numFmtId="243" formatCode="_(&quot;$&quot;* ###0_);_(&quot;$&quot;* \(###0\);_(&quot;$&quot;* &quot;-&quot;??_);_(@_)"/>
    <numFmt numFmtId="244" formatCode="_(\$* ###0_);_(\$* \(###0\);_(\$* \-??_);_(@_)"/>
    <numFmt numFmtId="245" formatCode="\$#,##0.000"/>
    <numFmt numFmtId="246" formatCode="&quot;Kč&quot;#,##0.000"/>
    <numFmt numFmtId="247" formatCode="&quot;$&quot;#,##0.000"/>
    <numFmt numFmtId="248" formatCode="d/m/yy\ h:mm\ AM/PM"/>
    <numFmt numFmtId="249" formatCode="_(* #,##0.0_);_(* \(#,##0.0\);_(* &quot;-  &quot;_);_(@_)"/>
    <numFmt numFmtId="250" formatCode="0.000"/>
    <numFmt numFmtId="251" formatCode="#,##0&quot;?_);\(#,##0&quot;&quot;?&quot;\)"/>
    <numFmt numFmtId="252" formatCode="#,##0_ "/>
    <numFmt numFmtId="253" formatCode="#,##0.0_);\(#,##0.0\)"/>
    <numFmt numFmtId="254" formatCode="#,##0.0"/>
    <numFmt numFmtId="255" formatCode="&quot;\&quot;#,##0.00;&quot;\&quot;&quot;\&quot;&quot;\&quot;\-&quot;\&quot;#,##0.00"/>
    <numFmt numFmtId="256" formatCode="_-&quot;\&quot;* #,##0_-;\-&quot;\&quot;* #,##0_-;_-&quot;\&quot;* &quot;-&quot;_-;_-@_-"/>
    <numFmt numFmtId="257" formatCode="_-&quot;\&quot;* #,##0.00_-;\-&quot;\&quot;* #,##0.00_-;_-&quot;\&quot;* &quot;-&quot;??_-;_-@_-"/>
    <numFmt numFmtId="258" formatCode="&quot;SFr.&quot;#,##0;&quot;SFr.&quot;&quot;\&quot;&quot;\&quot;&quot;\&quot;&quot;\&quot;\-#,##0"/>
    <numFmt numFmtId="259" formatCode="&quot;$&quot;#,##0"/>
    <numFmt numFmtId="260" formatCode="&quot;$&quot;#,##0;\-&quot;$&quot;#,##0"/>
    <numFmt numFmtId="261" formatCode="_(* #,##0.000000_);_(* \(#,##0.000000\);_(* &quot;-&quot;??_);_(@_)"/>
    <numFmt numFmtId="262" formatCode="mmm/yyyy"/>
    <numFmt numFmtId="263" formatCode="dd/mmm/yyyy"/>
    <numFmt numFmtId="264" formatCode="_(* #,##0.0000_);_(* \(#,##0.0000\);_(* &quot;-&quot;??_);_(@_)"/>
    <numFmt numFmtId="265" formatCode="0.0%;\(0.0%\)"/>
    <numFmt numFmtId="266" formatCode="#,##0.0000000"/>
    <numFmt numFmtId="267" formatCode="mm/dd/yy\ hh:mm\ AM/PM"/>
    <numFmt numFmtId="268" formatCode="0_)"/>
    <numFmt numFmtId="269" formatCode="mm/dd/yy\ hh:mm:ss"/>
    <numFmt numFmtId="270" formatCode="0.000_)"/>
    <numFmt numFmtId="271" formatCode="0.0000"/>
    <numFmt numFmtId="272" formatCode="_-&quot;\&quot;* #,##0.00_-;&quot;\&quot;&quot;\&quot;&quot;\&quot;&quot;\&quot;&quot;\&quot;&quot;\&quot;\-&quot;\&quot;* #,##0.00_-;_-&quot;\&quot;* &quot;-&quot;??_-;_-@_-"/>
    <numFmt numFmtId="273" formatCode="#,##0;\(#,##0\)"/>
    <numFmt numFmtId="274" formatCode="0%;\(0%\)"/>
    <numFmt numFmtId="275" formatCode="&quot;\&quot;#,##0.00;[Red]&quot;\&quot;\-#,##0.00"/>
    <numFmt numFmtId="276" formatCode="&quot;$&quot;#,##0_);\(&quot;$&quot;#,##0\)"/>
    <numFmt numFmtId="277" formatCode="&quot;$&quot;#,##0;[Red]\-&quot;$&quot;#,##0"/>
    <numFmt numFmtId="278" formatCode="&quot;£&quot;#,##0;[Red]\-&quot;£&quot;#,##0"/>
    <numFmt numFmtId="279" formatCode="0%_);\(0%\)"/>
    <numFmt numFmtId="280" formatCode="&quot;$&quot;#,##0\ ;\(&quot;$&quot;#,##0\)"/>
    <numFmt numFmtId="281" formatCode="#,##0&quot;?_);[Red]\(#,##0&quot;&quot;?&quot;\)"/>
    <numFmt numFmtId="282" formatCode="&quot;\&quot;#,##0.00;&quot;\&quot;&quot;\&quot;&quot;\&quot;&quot;\&quot;\-&quot;\&quot;#,##0.00"/>
    <numFmt numFmtId="283" formatCode="\$#,##0.00;\(\$#,##0.00\)"/>
    <numFmt numFmtId="284" formatCode="0.0"/>
    <numFmt numFmtId="285" formatCode="_(* #,##0_);_(* \(#,##0\);_(* &quot;-&quot;??_);_(@_)"/>
    <numFmt numFmtId="286" formatCode="&quot;$&quot;#,##0.00_);[Red]\(&quot;$&quot;#,##0.00\)"/>
    <numFmt numFmtId="287" formatCode="_-* #,##0.00\ _€_-;\-* #,##0.00\ _€_-;_-* &quot;-&quot;??\ _€_-;_-@_-"/>
    <numFmt numFmtId="288" formatCode="_-&quot;\&quot;* #,##0_-;&quot;\&quot;&quot;\&quot;&quot;\&quot;&quot;\&quot;\-&quot;\&quot;* #,##0_-;_-&quot;\&quot;* &quot;-&quot;_-;_-@_-"/>
    <numFmt numFmtId="289" formatCode="\$#,##0;\(\$#,##0\)"/>
    <numFmt numFmtId="290" formatCode="#,##0\ &quot;K€&quot;;[Red]\-#,##0\ &quot;K€&quot;"/>
    <numFmt numFmtId="291" formatCode="_-[$€]* #,##0.000_-;\-[$€]* #,##0.000_-;_-[$€]* &quot;-&quot;??_-;_-@_-"/>
    <numFmt numFmtId="292" formatCode="&quot;$&quot;#,##0.00"/>
    <numFmt numFmtId="293" formatCode="_-* #,##0_-;&quot;\&quot;&quot;\&quot;&quot;\&quot;&quot;\&quot;&quot;\&quot;&quot;\&quot;\-* #,##0_-;_-* &quot;-&quot;_-;_-@_-"/>
    <numFmt numFmtId="294" formatCode="&quot;\&quot;#,##0.00;[Red]&quot;\&quot;&quot;\&quot;&quot;\&quot;&quot;\&quot;&quot;\&quot;\-&quot;\&quot;#,##0.00"/>
    <numFmt numFmtId="295" formatCode="\$#,##0,_);&quot;($&quot;#,##0\)"/>
    <numFmt numFmtId="296" formatCode="####0.0000"/>
    <numFmt numFmtId="297" formatCode="General_)"/>
    <numFmt numFmtId="298" formatCode="#,##0_ ;[Red]\-#,##0\ "/>
    <numFmt numFmtId="299" formatCode="&quot;\&quot;#,##0;&quot;\&quot;&quot;\&quot;&quot;\&quot;\-#,##0"/>
    <numFmt numFmtId="300" formatCode="_ * #,##0_ ;_ * &quot;\&quot;&quot;\&quot;&quot;\&quot;&quot;\&quot;&quot;\&quot;&quot;\&quot;&quot;\&quot;&quot;\&quot;&quot;\&quot;\-#,##0_ ;_ * &quot;-&quot;_ ;_ @_ "/>
    <numFmt numFmtId="301" formatCode="&quot;L.&quot;\ #,##0.00;\-&quot;L.&quot;\ #,##0.00"/>
    <numFmt numFmtId="302" formatCode="mmm"/>
    <numFmt numFmtId="303" formatCode="#,##0\ &quot;F&quot;;[Red]\-#,##0\ &quot;F&quot;"/>
    <numFmt numFmtId="304" formatCode="0.0%\ \P"/>
    <numFmt numFmtId="305" formatCode="#,##0.00\ &quot;F&quot;;[Red]\-#,##0.00\ &quot;F&quot;"/>
    <numFmt numFmtId="306" formatCode="\$#,##0\ ;\(\$#,##0\)"/>
    <numFmt numFmtId="307" formatCode="d\.\ mmm\ yy"/>
    <numFmt numFmtId="308" formatCode="mmmm\ yy"/>
    <numFmt numFmtId="309" formatCode="&quot;$&quot;#,##0.00;[Red]\-&quot;$&quot;#,##0.00"/>
    <numFmt numFmtId="310" formatCode="#,##0.000000;[Red]\-#,##0.000000"/>
    <numFmt numFmtId="311" formatCode="[$-409]mmmmm\-yy;@"/>
    <numFmt numFmtId="312" formatCode="0.00_ "/>
    <numFmt numFmtId="313" formatCode="0.000000"/>
    <numFmt numFmtId="314" formatCode="_ &quot;R&quot;\ * #,##0.00_ ;_ &quot;R&quot;\ * \-#,##0.00_ ;_ &quot;R&quot;\ * &quot;-&quot;??_ ;_ @_ "/>
    <numFmt numFmtId="315" formatCode="_-* #,##0.0_-;\-* #,##0.0_-;_-* &quot;-&quot;??_-;_-@_-"/>
    <numFmt numFmtId="316" formatCode="#,##0%_ ;[Red]\-#,##0%\ "/>
    <numFmt numFmtId="317" formatCode="0.0&quot;  &quot;"/>
    <numFmt numFmtId="318" formatCode="#,##0.00&quot; &quot;[$€-407];[Red]&quot;-&quot;#,##0.00&quot; &quot;[$€-407]"/>
    <numFmt numFmtId="319" formatCode="#,##0.00\ [$€-407];[Red]\-#,##0.00\ [$€-407]"/>
    <numFmt numFmtId="320" formatCode="mm/dd/yy"/>
    <numFmt numFmtId="321" formatCode="#,##0;[Red]\(#,##0\)"/>
    <numFmt numFmtId="322" formatCode="0.0000000"/>
    <numFmt numFmtId="323" formatCode="0;\-0;;@"/>
    <numFmt numFmtId="324" formatCode="#,##0.0000;[Red]\-#,##0.0000"/>
    <numFmt numFmtId="325" formatCode="#,##0.000000_);[Red]\(#,##0.000000\)"/>
    <numFmt numFmtId="326" formatCode="#,##0.000_);\(#,##0.000\)"/>
    <numFmt numFmtId="327" formatCode="&quot;$&quot;#,##0,_);[Red]\(&quot;$&quot;#,##0,\)"/>
    <numFmt numFmtId="328" formatCode="&quot;$&quot;#,##0_);[Red]\(&quot;$&quot;#,##0\)"/>
    <numFmt numFmtId="329" formatCode="_-* #,##0\ _k_r_-;\-* #,##0\ _k_r_-;_-* &quot;-&quot;\ _k_r_-;_-@_-"/>
    <numFmt numFmtId="330" formatCode="_-* #,##0.00\ _k_r_-;\-* #,##0.00\ _k_r_-;_-* &quot;-&quot;??\ _k_r_-;_-@_-"/>
    <numFmt numFmtId="331" formatCode="&quot;$&quot;#,##0.00000"/>
    <numFmt numFmtId="332" formatCode="#,##0.0000_);\(#,##0.0000\);"/>
    <numFmt numFmtId="333" formatCode="&quot;DAT Scorpion 8GB - &quot;#,##0"/>
    <numFmt numFmtId="334" formatCode="_-* #,##0.00\ &quot;kr&quot;_-;\-* #,##0.00\ &quot;kr&quot;_-;_-* &quot;-&quot;??\ &quot;kr&quot;_-;_-@_-"/>
    <numFmt numFmtId="335" formatCode="_-* #,##0\ &quot;DM&quot;_-;\-* #,##0\ &quot;DM&quot;_-;_-* &quot;-&quot;\ &quot;DM&quot;_-;_-@_-"/>
    <numFmt numFmtId="336" formatCode="_-* #,##0.00\ &quot;DM&quot;_-;\-* #,##0.00\ &quot;DM&quot;_-;_-* &quot;-&quot;??\ &quot;DM&quot;_-;_-@_-"/>
    <numFmt numFmtId="337" formatCode="&quot;$&quot;#,##0.00_);\(&quot;$&quot;#,##0.00\)"/>
    <numFmt numFmtId="338" formatCode="_-* #,##0.00\ &quot;DEM&quot;_-;\-* #,##0.00\ &quot;DEM&quot;_-;_-* &quot;-&quot;??\ &quot;DEM&quot;_-;_-@_-"/>
    <numFmt numFmtId="339" formatCode="yyyy/m/d\ h:mm\ AM/PM"/>
    <numFmt numFmtId="340" formatCode="yy\-mm\-dd"/>
    <numFmt numFmtId="341" formatCode=";;;@"/>
    <numFmt numFmtId="342" formatCode="_-[$€-2]* #,##0.00_-;\-[$€-2]* #,##0.00_-;_-[$€-2]* \-??_-"/>
    <numFmt numFmtId="343" formatCode="_-[$€]* #,##0.00_-;\-[$€]* #,##0.00_-;_-[$€]* &quot;-&quot;??_-;_-@_-"/>
    <numFmt numFmtId="344" formatCode="_(* #,##0_);_(* \(#,##0\);_(* \-_);_(@_)"/>
    <numFmt numFmtId="345" formatCode="_(&quot;$&quot;* #,##0.00_);_(&quot;$&quot;* \(#,##0.00\);_(&quot;$&quot;* \-??_);_(@_)"/>
    <numFmt numFmtId="346" formatCode="_-&quot;NT$&quot;* #,##0.00_-;\-&quot;NT$&quot;* #,##0.00_-;_-&quot;NT$&quot;* &quot;-&quot;??_-;_-@_-"/>
    <numFmt numFmtId="347" formatCode="_-\$* #,##0.00_-;&quot;-$&quot;* #,##0.00_-;_-\$* \-??_-;_-@_-"/>
    <numFmt numFmtId="348" formatCode="0.00_);[Red]\(0.00\)"/>
    <numFmt numFmtId="349" formatCode="&quot;\&quot;#,##0.000;&quot;\&quot;\-#,##0.000"/>
    <numFmt numFmtId="350" formatCode="#,##0.000_ ;[Red]\-#,##0.000\ "/>
    <numFmt numFmtId="351" formatCode="_(\$* #,##0_);_(\$* \(#,##0\);_(\$* \-_);_(@_)"/>
    <numFmt numFmtId="352" formatCode="#,##0;&quot;-&quot;#,##0"/>
    <numFmt numFmtId="353" formatCode="&quot;\&quot;#,##0.00\ ;\(&quot;\&quot;#,##0.00\)"/>
    <numFmt numFmtId="354" formatCode="#,##0.0_);[Red]\(#,##0.0\)"/>
    <numFmt numFmtId="355" formatCode="#,##0.00_);[Red]\(#,##0.00\)"/>
  </numFmts>
  <fonts count="492">
    <font>
      <sz val="11"/>
      <color theme="1"/>
      <name val="宋体"/>
      <charset val="134"/>
      <scheme val="minor"/>
    </font>
    <font>
      <sz val="13"/>
      <color theme="1"/>
      <name val="Calibri"/>
      <family val="2"/>
    </font>
    <font>
      <sz val="12.5"/>
      <color theme="1"/>
      <name val="Calibri"/>
      <family val="2"/>
    </font>
    <font>
      <sz val="12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sz val="12.5"/>
      <name val="Calibri"/>
      <family val="2"/>
    </font>
    <font>
      <sz val="12.5"/>
      <color rgb="FF000000"/>
      <name val="Calibri"/>
      <family val="2"/>
    </font>
    <font>
      <b/>
      <sz val="13"/>
      <color theme="1"/>
      <name val="Calibri"/>
      <family val="2"/>
    </font>
    <font>
      <b/>
      <sz val="12.5"/>
      <name val="Calibri"/>
      <family val="2"/>
    </font>
    <font>
      <b/>
      <sz val="13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4"/>
      <name val="뼻뮝"/>
      <charset val="134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新細明體"/>
      <charset val="134"/>
    </font>
    <font>
      <sz val="10"/>
      <name val="Helv"/>
      <family val="2"/>
    </font>
    <font>
      <sz val="12"/>
      <name val="Times New Roman"/>
      <family val="1"/>
    </font>
    <font>
      <sz val="12"/>
      <name val="新細明體"/>
      <charset val="134"/>
    </font>
    <font>
      <sz val="10"/>
      <color rgb="FF000000"/>
      <name val="Arial"/>
      <family val="2"/>
    </font>
    <font>
      <sz val="10"/>
      <color rgb="FF000000"/>
      <name val="Helv"/>
      <family val="2"/>
    </font>
    <font>
      <sz val="12"/>
      <name val="宋体"/>
      <family val="3"/>
      <charset val="134"/>
    </font>
    <font>
      <sz val="10"/>
      <color indexed="8"/>
      <name val="MS Sans Serif"/>
      <family val="2"/>
    </font>
    <font>
      <sz val="9"/>
      <color indexed="10"/>
      <name val="Geneva"/>
      <family val="1"/>
    </font>
    <font>
      <sz val="12"/>
      <name val="바탕체"/>
      <charset val="134"/>
    </font>
    <font>
      <sz val="10"/>
      <name val="Microsoft YaHei"/>
      <charset val="134"/>
    </font>
    <font>
      <sz val="11"/>
      <name val="ＭＳ Ｐゴシック"/>
      <charset val="134"/>
    </font>
    <font>
      <sz val="10"/>
      <name val="細明朝体"/>
      <charset val="128"/>
    </font>
    <font>
      <sz val="10"/>
      <name val="新細明體"/>
      <charset val="134"/>
    </font>
    <font>
      <sz val="11"/>
      <color indexed="20"/>
      <name val="宋体"/>
      <family val="3"/>
      <charset val="134"/>
    </font>
    <font>
      <sz val="12"/>
      <name val="???"/>
      <family val="1"/>
    </font>
    <font>
      <sz val="11"/>
      <name val="MS P????"/>
      <family val="1"/>
    </font>
    <font>
      <sz val="12"/>
      <name val="¹UAAA¼"/>
      <charset val="134"/>
    </font>
    <font>
      <sz val="14"/>
      <name val="?? ??"/>
      <family val="1"/>
    </font>
    <font>
      <u/>
      <sz val="8.25"/>
      <color indexed="12"/>
      <name val="?? ?????"/>
      <family val="1"/>
    </font>
    <font>
      <sz val="11"/>
      <name val="돋움"/>
      <charset val="134"/>
    </font>
    <font>
      <u/>
      <sz val="8.25"/>
      <color indexed="36"/>
      <name val="?? ?????"/>
      <family val="1"/>
    </font>
    <font>
      <u/>
      <sz val="11"/>
      <color indexed="36"/>
      <name val="Arial"/>
      <family val="2"/>
    </font>
    <font>
      <u/>
      <sz val="8.25"/>
      <color indexed="20"/>
      <name val="?? ?????"/>
      <family val="1"/>
    </font>
    <font>
      <u/>
      <sz val="6.6"/>
      <color indexed="12"/>
      <name val="Arial"/>
      <family val="2"/>
    </font>
    <font>
      <u/>
      <sz val="12"/>
      <color indexed="36"/>
      <name val="Osaka"/>
      <family val="1"/>
    </font>
    <font>
      <u/>
      <sz val="10"/>
      <color indexed="36"/>
      <name val="Arial"/>
      <family val="2"/>
    </font>
    <font>
      <u/>
      <sz val="8.25"/>
      <color indexed="36"/>
      <name val="MS P????"/>
      <family val="1"/>
    </font>
    <font>
      <u/>
      <sz val="8.25"/>
      <color indexed="12"/>
      <name val="MS P????"/>
      <family val="1"/>
    </font>
    <font>
      <u/>
      <sz val="11"/>
      <color indexed="36"/>
      <name val="MS P????"/>
      <family val="1"/>
    </font>
    <font>
      <u/>
      <sz val="10"/>
      <color indexed="36"/>
      <name val="Geneva"/>
      <family val="1"/>
    </font>
    <font>
      <u/>
      <sz val="10"/>
      <color indexed="36"/>
      <name val="MS P????"/>
      <family val="1"/>
    </font>
    <font>
      <u/>
      <sz val="10"/>
      <color indexed="12"/>
      <name val="MS P????"/>
      <family val="1"/>
    </font>
    <font>
      <u/>
      <sz val="11"/>
      <color indexed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Geneva"/>
      <family val="1"/>
    </font>
    <font>
      <sz val="12"/>
      <name val="??????"/>
      <family val="1"/>
    </font>
    <font>
      <sz val="12"/>
      <color indexed="42"/>
      <name val="新細明體"/>
      <charset val="134"/>
    </font>
    <font>
      <sz val="11"/>
      <name val="??? "/>
      <family val="1"/>
    </font>
    <font>
      <u/>
      <sz val="11"/>
      <color indexed="36"/>
      <name val="?l?r ?o?S?V?b?N"/>
      <family val="1"/>
    </font>
    <font>
      <sz val="12"/>
      <color indexed="8"/>
      <name val="Times New Roman"/>
      <family val="1"/>
    </font>
    <font>
      <sz val="11"/>
      <color indexed="17"/>
      <name val="宋体"/>
      <family val="3"/>
      <charset val="134"/>
    </font>
    <font>
      <sz val="11"/>
      <color indexed="60"/>
      <name val="新細明體"/>
      <charset val="134"/>
    </font>
    <font>
      <sz val="12"/>
      <color indexed="8"/>
      <name val="新細明體"/>
      <charset val="134"/>
    </font>
    <font>
      <sz val="14"/>
      <name val="?l?r –?’©"/>
      <charset val="129"/>
    </font>
    <font>
      <sz val="14"/>
      <name val="Cordia New"/>
      <family val="2"/>
      <charset val="222"/>
    </font>
    <font>
      <sz val="14"/>
      <name val="AngsanaUPC"/>
      <family val="1"/>
      <charset val="222"/>
    </font>
    <font>
      <u/>
      <sz val="11"/>
      <color indexed="12"/>
      <name val="?l?r ?o?S?V?b?N"/>
      <family val="1"/>
    </font>
    <font>
      <sz val="10"/>
      <name val="?l?r ?o?S?V?b?N"/>
      <family val="1"/>
    </font>
    <font>
      <sz val="11"/>
      <name val="Century"/>
      <family val="1"/>
    </font>
    <font>
      <sz val="11"/>
      <name val="?l?r ??f?"/>
      <family val="1"/>
    </font>
    <font>
      <u/>
      <sz val="10"/>
      <color indexed="39"/>
      <name val="Arial"/>
      <family val="2"/>
    </font>
    <font>
      <sz val="8"/>
      <name val="Tms Rmn"/>
      <family val="1"/>
    </font>
    <font>
      <b/>
      <sz val="12"/>
      <name val="Arial"/>
      <family val="2"/>
    </font>
    <font>
      <i/>
      <sz val="12"/>
      <color indexed="23"/>
      <name val="新細明體"/>
      <charset val="134"/>
    </font>
    <font>
      <sz val="10"/>
      <name val="ＭＳ Ｐゴシック"/>
      <charset val="134"/>
    </font>
    <font>
      <b/>
      <sz val="12"/>
      <color indexed="52"/>
      <name val="新細明體"/>
      <charset val="134"/>
    </font>
    <font>
      <sz val="12"/>
      <name val="Osaka"/>
      <family val="1"/>
    </font>
    <font>
      <sz val="10"/>
      <color indexed="8"/>
      <name val="Arial"/>
      <family val="2"/>
    </font>
    <font>
      <b/>
      <sz val="18"/>
      <color indexed="56"/>
      <name val="新細明體"/>
      <charset val="134"/>
    </font>
    <font>
      <sz val="10"/>
      <color indexed="16"/>
      <name val="MS Serif"/>
      <family val="1"/>
    </font>
    <font>
      <sz val="9"/>
      <name val="Geneva"/>
      <family val="1"/>
    </font>
    <font>
      <sz val="9"/>
      <color indexed="8"/>
      <name val="Geneva"/>
      <family val="1"/>
    </font>
    <font>
      <sz val="12"/>
      <color indexed="9"/>
      <name val="新細明體"/>
      <charset val="134"/>
    </font>
    <font>
      <strike/>
      <sz val="10"/>
      <name val="Arial"/>
      <family val="2"/>
    </font>
    <font>
      <sz val="12"/>
      <name val="Courier"/>
      <family val="3"/>
    </font>
    <font>
      <b/>
      <sz val="18"/>
      <color indexed="56"/>
      <name val="Cambria"/>
      <family val="1"/>
    </font>
    <font>
      <sz val="10"/>
      <color indexed="8"/>
      <name val="Helv"/>
      <family val="2"/>
    </font>
    <font>
      <sz val="10"/>
      <name val="Geneva"/>
      <family val="1"/>
    </font>
    <font>
      <sz val="12"/>
      <name val="Arial"/>
      <family val="2"/>
    </font>
    <font>
      <sz val="9"/>
      <name val="Arial MT"/>
      <family val="2"/>
    </font>
    <font>
      <sz val="11"/>
      <name val="Arial"/>
      <family val="2"/>
    </font>
    <font>
      <sz val="8"/>
      <name val="Arial"/>
      <family val="2"/>
    </font>
    <font>
      <sz val="12"/>
      <name val="돋움체"/>
      <charset val="129"/>
    </font>
    <font>
      <sz val="10"/>
      <name val="Courier"/>
      <family val="3"/>
    </font>
    <font>
      <b/>
      <sz val="10"/>
      <name val="MS Sans"/>
      <family val="1"/>
    </font>
    <font>
      <b/>
      <sz val="11"/>
      <color indexed="8"/>
      <name val="Calibri"/>
      <family val="2"/>
    </font>
    <font>
      <sz val="10"/>
      <name val="Tahoma"/>
      <family val="2"/>
    </font>
    <font>
      <b/>
      <i/>
      <u/>
      <sz val="12"/>
      <color indexed="8"/>
      <name val="Arial"/>
      <family val="2"/>
    </font>
    <font>
      <sz val="11"/>
      <color indexed="42"/>
      <name val="宋体"/>
      <family val="3"/>
      <charset val="134"/>
    </font>
    <font>
      <sz val="11"/>
      <name val="?"/>
      <charset val="136"/>
    </font>
    <font>
      <sz val="11"/>
      <color indexed="8"/>
      <name val="宋体"/>
      <family val="3"/>
      <charset val="134"/>
    </font>
    <font>
      <sz val="12"/>
      <color indexed="60"/>
      <name val="新細明體"/>
      <charset val="134"/>
    </font>
    <font>
      <sz val="14"/>
      <name val="‚l‚r –¾’©"/>
      <charset val="129"/>
    </font>
    <font>
      <sz val="10"/>
      <name val="香~??’c‘I"/>
      <charset val="128"/>
    </font>
    <font>
      <sz val="10"/>
      <name val="굴림체"/>
      <charset val="134"/>
    </font>
    <font>
      <u/>
      <sz val="12"/>
      <color indexed="12"/>
      <name val="Arial"/>
      <family val="2"/>
    </font>
    <font>
      <u/>
      <sz val="11"/>
      <color indexed="36"/>
      <name val="‚l‚r ‚oƒSƒVƒbƒN"/>
      <charset val="128"/>
    </font>
    <font>
      <sz val="12"/>
      <name val="×–¾’©‘Ì"/>
      <charset val="128"/>
    </font>
    <font>
      <b/>
      <sz val="12"/>
      <color indexed="8"/>
      <name val="新細明體"/>
      <charset val="134"/>
    </font>
    <font>
      <b/>
      <sz val="15"/>
      <color indexed="56"/>
      <name val="新細明體"/>
      <charset val="134"/>
    </font>
    <font>
      <u/>
      <sz val="11"/>
      <color indexed="36"/>
      <name val="lr oSVbN"/>
      <family val="1"/>
    </font>
    <font>
      <b/>
      <sz val="11"/>
      <color indexed="56"/>
      <name val="新細明體"/>
      <charset val="134"/>
    </font>
    <font>
      <sz val="10"/>
      <name val="Times New Roman"/>
      <family val="1"/>
    </font>
    <font>
      <sz val="11"/>
      <name val="lr oSVbN"/>
      <family val="1"/>
    </font>
    <font>
      <sz val="14"/>
      <name val="¾©"/>
      <charset val="134"/>
    </font>
    <font>
      <u/>
      <sz val="11"/>
      <color indexed="12"/>
      <name val="lr oSVbN"/>
      <family val="1"/>
    </font>
    <font>
      <sz val="11"/>
      <name val="¾©"/>
      <charset val="134"/>
    </font>
    <font>
      <sz val="9"/>
      <name val="?????BBB-??"/>
      <family val="1"/>
    </font>
    <font>
      <sz val="9"/>
      <name val="’†?S?V?b?N?a?a?a－“?? "/>
      <charset val="128"/>
    </font>
    <font>
      <sz val="8.5"/>
      <name val="LinePrinter"/>
      <family val="1"/>
    </font>
    <font>
      <sz val="9"/>
      <name val="Osaka"/>
      <family val="1"/>
    </font>
    <font>
      <sz val="12"/>
      <name val="ＭＳ Ｐゴシック"/>
      <charset val="134"/>
    </font>
    <font>
      <sz val="9"/>
      <name val="中ゴシックＢＢＢ－等幅"/>
      <charset val="128"/>
    </font>
    <font>
      <sz val="12"/>
      <name val="뼻뮝"/>
      <charset val="134"/>
    </font>
    <font>
      <sz val="10"/>
      <color indexed="8"/>
      <name val="Sabon"/>
      <family val="1"/>
    </font>
    <font>
      <sz val="11"/>
      <color indexed="8"/>
      <name val="Calibri"/>
      <family val="2"/>
    </font>
    <font>
      <sz val="11"/>
      <color indexed="8"/>
      <name val="ＭＳ Ｐゴシック"/>
      <charset val="134"/>
    </font>
    <font>
      <sz val="11"/>
      <color indexed="8"/>
      <name val="맑은 고딕"/>
      <charset val="134"/>
    </font>
    <font>
      <sz val="12"/>
      <color indexed="63"/>
      <name val="新細明體"/>
      <charset val="134"/>
    </font>
    <font>
      <sz val="12"/>
      <color theme="1"/>
      <name val="Calibri"/>
      <family val="2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theme="1"/>
      <name val="Arial"/>
      <family val="2"/>
    </font>
    <font>
      <sz val="7"/>
      <name val="MS Sans Serif"/>
      <family val="2"/>
    </font>
    <font>
      <sz val="7"/>
      <name val="明朝"/>
      <charset val="128"/>
    </font>
    <font>
      <sz val="11"/>
      <color indexed="9"/>
      <name val="Calibri"/>
      <family val="2"/>
    </font>
    <font>
      <sz val="11"/>
      <color indexed="9"/>
      <name val="新細明體"/>
      <charset val="134"/>
    </font>
    <font>
      <sz val="11"/>
      <color indexed="42"/>
      <name val="新細明體"/>
      <charset val="134"/>
    </font>
    <font>
      <sz val="11"/>
      <color indexed="42"/>
      <name val="Calibri"/>
      <family val="2"/>
    </font>
    <font>
      <sz val="11"/>
      <color indexed="9"/>
      <name val="ＭＳ Ｐゴシック"/>
      <charset val="134"/>
    </font>
    <font>
      <sz val="11"/>
      <color indexed="9"/>
      <name val="맑은 고딕"/>
      <charset val="134"/>
    </font>
    <font>
      <sz val="11"/>
      <color theme="0"/>
      <name val="宋体"/>
      <family val="3"/>
      <charset val="134"/>
      <scheme val="minor"/>
    </font>
    <font>
      <sz val="12"/>
      <color theme="0"/>
      <name val="Calibri"/>
      <family val="2"/>
    </font>
    <font>
      <sz val="12"/>
      <color indexed="9"/>
      <name val="宋体"/>
      <family val="3"/>
      <charset val="134"/>
    </font>
    <font>
      <sz val="12"/>
      <color theme="0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b/>
      <sz val="12"/>
      <name val="新細明體"/>
      <charset val="134"/>
    </font>
    <font>
      <b/>
      <sz val="15"/>
      <name val="Courier"/>
      <family val="3"/>
    </font>
    <font>
      <sz val="12"/>
      <name val="?UAAA?"/>
      <family val="1"/>
    </font>
    <font>
      <sz val="9"/>
      <name val="Times New Roman"/>
      <family val="1"/>
    </font>
    <font>
      <sz val="8"/>
      <color indexed="12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￥i￠￢￠?oA¨u"/>
      <charset val="129"/>
    </font>
    <font>
      <b/>
      <sz val="14"/>
      <name val="Times New Roman"/>
      <family val="1"/>
    </font>
    <font>
      <sz val="8"/>
      <color indexed="9"/>
      <name val="Arial"/>
      <family val="2"/>
    </font>
    <font>
      <sz val="9"/>
      <name val="Times New Roman CE"/>
      <charset val="238"/>
    </font>
    <font>
      <sz val="11"/>
      <name val="μ¸¿o"/>
      <charset val="129"/>
    </font>
    <font>
      <sz val="11"/>
      <name val="µ¸¿ò"/>
      <charset val="129"/>
    </font>
    <font>
      <sz val="12"/>
      <name val="μ¸¿oA¼"/>
      <charset val="129"/>
    </font>
    <font>
      <sz val="12"/>
      <name val="µ¸¿òÃ¼"/>
      <charset val="129"/>
    </font>
    <font>
      <sz val="12"/>
      <name val="¹ÙÅÁÃ¼"/>
      <charset val="129"/>
    </font>
    <font>
      <sz val="12"/>
      <name val="ⓒoUAAA¨u"/>
      <charset val="129"/>
    </font>
    <font>
      <sz val="9"/>
      <name val="AGaramond"/>
      <family val="1"/>
    </font>
    <font>
      <u/>
      <sz val="10"/>
      <color indexed="20"/>
      <name val="Arial"/>
      <family val="2"/>
    </font>
    <font>
      <u/>
      <sz val="9"/>
      <color indexed="36"/>
      <name val="Arial"/>
      <family val="2"/>
    </font>
    <font>
      <sz val="8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新細明體"/>
      <charset val="134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18"/>
      <name val="Times New Roman"/>
      <family val="1"/>
    </font>
    <font>
      <b/>
      <sz val="14"/>
      <color indexed="18"/>
      <name val="Times New Roman"/>
      <family val="1"/>
    </font>
    <font>
      <sz val="12"/>
      <name val="Tms Rmn"/>
      <family val="1"/>
    </font>
    <font>
      <b/>
      <sz val="10"/>
      <name val="Times New Roman"/>
      <family val="1"/>
    </font>
    <font>
      <b/>
      <sz val="10"/>
      <name val="MS Sans Serif"/>
      <family val="2"/>
    </font>
    <font>
      <b/>
      <sz val="10"/>
      <name val="Helv"/>
      <family val="2"/>
    </font>
    <font>
      <sz val="11"/>
      <color indexed="17"/>
      <name val="Calibri"/>
      <family val="2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4"/>
      <name val="±¼¸²A¼"/>
      <charset val="129"/>
    </font>
    <font>
      <sz val="14"/>
      <name val="±¼¸²Ã¼"/>
      <charset val="129"/>
    </font>
    <font>
      <sz val="10"/>
      <name val="¹ÙÅÁÃ¼"/>
      <charset val="129"/>
    </font>
    <font>
      <sz val="10"/>
      <name val="¹UAAA¼"/>
      <charset val="134"/>
    </font>
    <font>
      <sz val="12"/>
      <name val="±¼¸²A¼"/>
      <charset val="129"/>
    </font>
    <font>
      <sz val="12"/>
      <name val="±¼¸²Ã¼"/>
      <charset val="129"/>
    </font>
    <font>
      <sz val="8"/>
      <name val="¹UAAA¼"/>
      <charset val="134"/>
    </font>
    <font>
      <b/>
      <sz val="11"/>
      <color indexed="52"/>
      <name val="新細明體"/>
      <charset val="13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42"/>
      <name val="新細明體"/>
      <charset val="134"/>
    </font>
    <font>
      <b/>
      <sz val="11"/>
      <color indexed="42"/>
      <name val="Calibri"/>
      <family val="2"/>
    </font>
    <font>
      <sz val="10"/>
      <name val="UniversE"/>
      <charset val="238"/>
    </font>
    <font>
      <b/>
      <u/>
      <sz val="9"/>
      <name val="Times New Roman CE"/>
      <charset val="238"/>
    </font>
    <font>
      <b/>
      <sz val="8"/>
      <name val="Arial"/>
      <family val="2"/>
    </font>
    <font>
      <u/>
      <sz val="8"/>
      <color indexed="12"/>
      <name val="Helv"/>
      <family val="2"/>
    </font>
    <font>
      <u/>
      <sz val="8"/>
      <color indexed="36"/>
      <name val="Helv"/>
      <family val="2"/>
    </font>
    <font>
      <b/>
      <sz val="9.75"/>
      <name val="Abadi MT Condensed"/>
      <family val="1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i/>
      <sz val="10"/>
      <color indexed="10"/>
      <name val="Arial"/>
      <family val="2"/>
    </font>
    <font>
      <sz val="11"/>
      <name val="Tms Rmn"/>
      <family val="1"/>
    </font>
    <font>
      <sz val="10"/>
      <name val="BERNHARD"/>
      <family val="1"/>
    </font>
    <font>
      <sz val="10"/>
      <name val="MS Serif"/>
      <family val="1"/>
    </font>
    <font>
      <sz val="11"/>
      <name val="明朝"/>
      <charset val="128"/>
    </font>
    <font>
      <sz val="9.75"/>
      <name val="Abadi MT Condensed"/>
      <family val="1"/>
    </font>
    <font>
      <sz val="10"/>
      <color indexed="18"/>
      <name val="Abadi MT Condensed"/>
      <family val="1"/>
    </font>
    <font>
      <sz val="10"/>
      <name val="Times New Roman CE"/>
      <charset val="238"/>
    </font>
    <font>
      <sz val="11"/>
      <name val="Helv"/>
      <family val="2"/>
    </font>
    <font>
      <sz val="10"/>
      <name val="HPANTOLV"/>
      <family val="1"/>
    </font>
    <font>
      <sz val="8"/>
      <name val="MS Sans Serif"/>
      <family val="2"/>
    </font>
    <font>
      <sz val="10"/>
      <name val="Abadi MT Condensed"/>
      <family val="1"/>
    </font>
    <font>
      <sz val="1"/>
      <color indexed="8"/>
      <name val="Courier"/>
      <family val="3"/>
    </font>
    <font>
      <sz val="8"/>
      <name val="Times New Roman CE"/>
      <charset val="238"/>
    </font>
    <font>
      <sz val="10"/>
      <color indexed="19"/>
      <name val="Arial"/>
      <family val="2"/>
    </font>
    <font>
      <sz val="11"/>
      <color indexed="62"/>
      <name val="Calibri"/>
      <family val="2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b/>
      <sz val="12"/>
      <color indexed="24"/>
      <name val="Arial"/>
      <family val="2"/>
    </font>
    <font>
      <u/>
      <sz val="12"/>
      <color indexed="24"/>
      <name val="Arial"/>
      <family val="2"/>
    </font>
    <font>
      <sz val="12"/>
      <color indexed="24"/>
      <name val="Arial"/>
      <family val="2"/>
    </font>
    <font>
      <i/>
      <sz val="11"/>
      <color indexed="23"/>
      <name val="Calibri"/>
      <family val="2"/>
    </font>
    <font>
      <i/>
      <sz val="10"/>
      <color indexed="11"/>
      <name val="Arial"/>
      <family val="2"/>
    </font>
    <font>
      <sz val="10"/>
      <name val="Arial CE"/>
      <charset val="238"/>
    </font>
    <font>
      <sz val="12"/>
      <color indexed="20"/>
      <name val="新細明體"/>
      <charset val="134"/>
    </font>
    <font>
      <b/>
      <sz val="12"/>
      <color indexed="9"/>
      <name val="新細明體"/>
      <charset val="134"/>
    </font>
    <font>
      <sz val="12"/>
      <color indexed="17"/>
      <name val="新細明體"/>
      <charset val="134"/>
    </font>
    <font>
      <b/>
      <sz val="13"/>
      <color indexed="56"/>
      <name val="新細明體"/>
      <charset val="134"/>
    </font>
    <font>
      <sz val="12"/>
      <color indexed="62"/>
      <name val="新細明體"/>
      <charset val="134"/>
    </font>
    <font>
      <sz val="12"/>
      <color indexed="52"/>
      <name val="新細明體"/>
      <charset val="134"/>
    </font>
    <font>
      <sz val="12"/>
      <color indexed="8"/>
      <name val="Arial"/>
      <family val="2"/>
    </font>
    <font>
      <b/>
      <sz val="12"/>
      <color indexed="63"/>
      <name val="新細明體"/>
      <charset val="134"/>
    </font>
    <font>
      <sz val="12"/>
      <color indexed="10"/>
      <name val="新細明體"/>
      <charset val="134"/>
    </font>
    <font>
      <i/>
      <sz val="11"/>
      <color indexed="23"/>
      <name val="新細明體"/>
      <charset val="134"/>
    </font>
    <font>
      <i/>
      <sz val="11"/>
      <color rgb="FF7F7F7F"/>
      <name val="宋体"/>
      <family val="3"/>
      <charset val="134"/>
      <scheme val="minor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b/>
      <i/>
      <sz val="1"/>
      <color indexed="8"/>
      <name val="Courier"/>
      <family val="3"/>
    </font>
    <font>
      <sz val="12"/>
      <name val="Helv"/>
      <family val="2"/>
    </font>
    <font>
      <u/>
      <sz val="11"/>
      <color indexed="12"/>
      <name val="‚l‚r ‚oƒSƒVƒbƒN"/>
      <charset val="128"/>
    </font>
    <font>
      <u/>
      <sz val="10"/>
      <color indexed="14"/>
      <name val="MS Sans Serif"/>
      <family val="2"/>
    </font>
    <font>
      <sz val="8"/>
      <color indexed="10"/>
      <name val="Arial"/>
      <family val="2"/>
    </font>
    <font>
      <i/>
      <sz val="10"/>
      <color indexed="12"/>
      <name val="Arial"/>
      <family val="2"/>
    </font>
    <font>
      <sz val="11"/>
      <name val="–¾’©"/>
      <charset val="128"/>
    </font>
    <font>
      <sz val="9"/>
      <name val="GillSans"/>
      <family val="1"/>
    </font>
    <font>
      <sz val="9"/>
      <name val="GillSans Light"/>
      <family val="1"/>
    </font>
    <font>
      <b/>
      <sz val="12"/>
      <color indexed="14"/>
      <name val="黑体"/>
      <family val="3"/>
      <charset val="134"/>
    </font>
    <font>
      <b/>
      <sz val="10"/>
      <color indexed="14"/>
      <name val="黑体"/>
      <family val="3"/>
      <charset val="134"/>
    </font>
    <font>
      <sz val="11"/>
      <color indexed="17"/>
      <name val="新細明體"/>
      <charset val="134"/>
    </font>
    <font>
      <b/>
      <sz val="12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12"/>
      <name val="Helv"/>
      <family val="2"/>
    </font>
    <font>
      <b/>
      <u/>
      <sz val="11"/>
      <color indexed="37"/>
      <name val="Arial"/>
      <family val="2"/>
    </font>
    <font>
      <b/>
      <sz val="10"/>
      <color indexed="8"/>
      <name val="News Gothic"/>
      <family val="1"/>
    </font>
    <font>
      <b/>
      <sz val="18"/>
      <name val="Arial"/>
      <family val="2"/>
    </font>
    <font>
      <b/>
      <sz val="15"/>
      <color indexed="62"/>
      <name val="新細明體"/>
      <charset val="134"/>
    </font>
    <font>
      <b/>
      <sz val="15"/>
      <color indexed="56"/>
      <name val="Calibri"/>
      <family val="2"/>
    </font>
    <font>
      <b/>
      <sz val="15"/>
      <color indexed="56"/>
      <name val="宋体"/>
      <family val="3"/>
      <charset val="134"/>
    </font>
    <font>
      <b/>
      <sz val="13"/>
      <color indexed="62"/>
      <name val="新細明體"/>
      <charset val="134"/>
    </font>
    <font>
      <b/>
      <sz val="13"/>
      <color indexed="56"/>
      <name val="Calibri"/>
      <family val="2"/>
    </font>
    <font>
      <b/>
      <sz val="13"/>
      <color indexed="56"/>
      <name val="宋体"/>
      <family val="3"/>
      <charset val="134"/>
    </font>
    <font>
      <b/>
      <sz val="11"/>
      <color indexed="62"/>
      <name val="新細明體"/>
      <charset val="134"/>
    </font>
    <font>
      <b/>
      <sz val="10"/>
      <name val="Arial"/>
      <family val="2"/>
    </font>
    <font>
      <b/>
      <i/>
      <sz val="16"/>
      <color indexed="8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000000"/>
      <name val="Arial"/>
      <family val="2"/>
    </font>
    <font>
      <b/>
      <sz val="8"/>
      <name val="MS Sans Serif"/>
      <family val="2"/>
    </font>
    <font>
      <sz val="14"/>
      <name val="Times New Roman"/>
      <family val="1"/>
    </font>
    <font>
      <u/>
      <sz val="10"/>
      <color indexed="12"/>
      <name val="MS Sans Serif"/>
      <family val="2"/>
    </font>
    <font>
      <b/>
      <u/>
      <sz val="8"/>
      <color indexed="62"/>
      <name val="Arial"/>
      <family val="2"/>
    </font>
    <font>
      <sz val="10"/>
      <name val="ＭＳ ゴシック"/>
      <charset val="128"/>
    </font>
    <font>
      <sz val="11"/>
      <color indexed="62"/>
      <name val="新細明體"/>
      <charset val="134"/>
    </font>
    <font>
      <sz val="11"/>
      <color indexed="62"/>
      <name val="宋体"/>
      <family val="3"/>
      <charset val="134"/>
    </font>
    <font>
      <b/>
      <sz val="6"/>
      <name val="TimesNewRomanPS"/>
      <family val="1"/>
    </font>
    <font>
      <sz val="12"/>
      <name val="標楷體"/>
      <charset val="136"/>
    </font>
    <font>
      <sz val="9"/>
      <name val="ＭＳ Ｐゴシック"/>
      <charset val="134"/>
    </font>
    <font>
      <b/>
      <sz val="14"/>
      <name val="Helv"/>
      <family val="2"/>
    </font>
    <font>
      <u/>
      <sz val="8"/>
      <color indexed="12"/>
      <name val="Times New Roman"/>
      <family val="1"/>
    </font>
    <font>
      <u/>
      <sz val="8"/>
      <color indexed="36"/>
      <name val="Times New Roman"/>
      <family val="1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sz val="11"/>
      <color indexed="52"/>
      <name val="新細明體"/>
      <charset val="134"/>
    </font>
    <font>
      <sz val="11"/>
      <color rgb="FFFA7D00"/>
      <name val="宋体"/>
      <family val="3"/>
      <charset val="134"/>
      <scheme val="minor"/>
    </font>
    <font>
      <sz val="12"/>
      <color indexed="9"/>
      <name val="Helv"/>
      <family val="2"/>
    </font>
    <font>
      <sz val="11"/>
      <name val="‚l‚r ‚oƒSƒVƒbƒN"/>
      <charset val="128"/>
    </font>
    <font>
      <sz val="11"/>
      <name val="?l?r ?o?S?V?b?N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16"/>
      <name val="Calibri"/>
      <family val="2"/>
    </font>
    <font>
      <sz val="7"/>
      <name val="Helv"/>
      <family val="2"/>
    </font>
    <font>
      <sz val="7"/>
      <name val="Small Fonts"/>
      <family val="2"/>
    </font>
    <font>
      <sz val="12"/>
      <name val="Arial MT"/>
      <family val="2"/>
    </font>
    <font>
      <b/>
      <i/>
      <sz val="16"/>
      <name val="Helv"/>
      <family val="2"/>
    </font>
    <font>
      <sz val="12"/>
      <name val="Abadi MT Condensed Light"/>
      <family val="1"/>
    </font>
    <font>
      <b/>
      <sz val="8.5"/>
      <name val="MS Sans Serif"/>
      <family val="2"/>
    </font>
    <font>
      <b/>
      <i/>
      <sz val="14"/>
      <name val="Times New Roman"/>
      <family val="1"/>
    </font>
    <font>
      <b/>
      <sz val="11"/>
      <color indexed="63"/>
      <name val="新細明體"/>
      <charset val="134"/>
    </font>
    <font>
      <sz val="9"/>
      <color indexed="8"/>
      <name val="Arial"/>
      <family val="2"/>
    </font>
    <font>
      <b/>
      <sz val="22"/>
      <color indexed="8"/>
      <name val="Times New Roman"/>
      <family val="1"/>
    </font>
    <font>
      <i/>
      <sz val="10"/>
      <color indexed="23"/>
      <name val="Arial"/>
      <family val="2"/>
    </font>
    <font>
      <sz val="10"/>
      <color indexed="10"/>
      <name val="Arial"/>
      <family val="2"/>
    </font>
    <font>
      <sz val="7"/>
      <color indexed="10"/>
      <name val="MS Sans Serif"/>
      <family val="2"/>
    </font>
    <font>
      <sz val="10"/>
      <name val="Tms Rmn"/>
      <family val="1"/>
    </font>
    <font>
      <sz val="12"/>
      <color indexed="9"/>
      <name val="Arial"/>
      <family val="2"/>
    </font>
    <font>
      <b/>
      <sz val="11"/>
      <color indexed="16"/>
      <name val="Times New Roman"/>
      <family val="1"/>
    </font>
    <font>
      <sz val="8"/>
      <name val="Wingdings"/>
      <charset val="2"/>
    </font>
    <font>
      <b/>
      <sz val="12"/>
      <color indexed="8"/>
      <name val="Arial"/>
      <family val="2"/>
    </font>
    <font>
      <b/>
      <i/>
      <u/>
      <sz val="11"/>
      <color theme="1"/>
      <name val="Arial"/>
      <family val="2"/>
    </font>
    <font>
      <b/>
      <i/>
      <u/>
      <sz val="11"/>
      <color indexed="8"/>
      <name val="Arial"/>
      <family val="2"/>
    </font>
    <font>
      <b/>
      <i/>
      <u/>
      <sz val="11"/>
      <color rgb="FF000000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sz val="8"/>
      <color indexed="8"/>
      <name val="Arial"/>
      <family val="2"/>
    </font>
    <font>
      <sz val="11"/>
      <name val="‚l‚r –ľ’©"/>
      <charset val="128"/>
    </font>
    <font>
      <sz val="12"/>
      <color indexed="1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b/>
      <sz val="10"/>
      <color indexed="48"/>
      <name val="Arial"/>
      <family val="2"/>
    </font>
    <font>
      <sz val="19"/>
      <color indexed="48"/>
      <name val="Arial"/>
      <family val="2"/>
    </font>
    <font>
      <b/>
      <sz val="8.25"/>
      <name val="Helv"/>
      <family val="2"/>
    </font>
    <font>
      <sz val="8"/>
      <color indexed="8"/>
      <name val="Times New Roman"/>
      <family val="1"/>
    </font>
    <font>
      <sz val="10"/>
      <name val="CG Times (WN)"/>
      <family val="1"/>
    </font>
    <font>
      <b/>
      <i/>
      <sz val="14"/>
      <name val="Arial"/>
      <family val="2"/>
    </font>
    <font>
      <u/>
      <sz val="8"/>
      <color indexed="39"/>
      <name val="Arial"/>
      <family val="2"/>
    </font>
    <font>
      <i/>
      <sz val="8"/>
      <name val="Arial"/>
      <family val="2"/>
    </font>
    <font>
      <i/>
      <u/>
      <sz val="8"/>
      <color indexed="39"/>
      <name val="Arial"/>
      <family val="2"/>
    </font>
    <font>
      <b/>
      <sz val="8"/>
      <color indexed="8"/>
      <name val="Helv"/>
      <family val="2"/>
    </font>
    <font>
      <sz val="10"/>
      <color indexed="22"/>
      <name val="Arial"/>
      <family val="2"/>
    </font>
    <font>
      <i/>
      <sz val="10"/>
      <name val="Arial"/>
      <family val="2"/>
    </font>
    <font>
      <b/>
      <sz val="12"/>
      <color indexed="18"/>
      <name val="Arial"/>
      <family val="2"/>
    </font>
    <font>
      <b/>
      <sz val="14"/>
      <color indexed="18"/>
      <name val="Arial"/>
      <family val="2"/>
    </font>
    <font>
      <b/>
      <sz val="20"/>
      <color indexed="18"/>
      <name val="Arial"/>
      <family val="2"/>
    </font>
    <font>
      <b/>
      <sz val="8"/>
      <name val="Times New Roman"/>
      <family val="1"/>
    </font>
    <font>
      <b/>
      <sz val="10"/>
      <color indexed="10"/>
      <name val="Times New Roman"/>
      <family val="1"/>
    </font>
    <font>
      <b/>
      <sz val="8"/>
      <name val="Helvetica-Narrow"/>
      <family val="2"/>
    </font>
    <font>
      <b/>
      <sz val="10"/>
      <color indexed="10"/>
      <name val="Arial"/>
      <family val="2"/>
    </font>
    <font>
      <sz val="10"/>
      <color indexed="13"/>
      <name val="Helv"/>
      <family val="2"/>
    </font>
    <font>
      <sz val="11"/>
      <color indexed="13"/>
      <name val="Helv"/>
      <family val="2"/>
    </font>
    <font>
      <b/>
      <sz val="18"/>
      <color indexed="62"/>
      <name val="新細明體"/>
      <charset val="134"/>
    </font>
    <font>
      <b/>
      <sz val="11"/>
      <color indexed="8"/>
      <name val="新細明體"/>
      <charset val="134"/>
    </font>
    <font>
      <b/>
      <sz val="11"/>
      <name val="Helv"/>
      <family val="2"/>
    </font>
    <font>
      <b/>
      <sz val="9"/>
      <color indexed="9"/>
      <name val="Arial CE"/>
      <charset val="238"/>
    </font>
    <font>
      <b/>
      <sz val="18"/>
      <color indexed="62"/>
      <name val="Cambria"/>
      <family val="1"/>
    </font>
    <font>
      <sz val="12"/>
      <color indexed="8"/>
      <name val="Arial MT"/>
      <family val="2"/>
    </font>
    <font>
      <sz val="2.25"/>
      <name val="Arial"/>
      <family val="2"/>
    </font>
    <font>
      <sz val="8"/>
      <color indexed="10"/>
      <name val="Arial Narrow"/>
      <family val="2"/>
    </font>
    <font>
      <sz val="8"/>
      <color indexed="8"/>
      <name val="Wingdings"/>
      <charset val="2"/>
    </font>
    <font>
      <sz val="10"/>
      <color indexed="18"/>
      <name val="Arial"/>
      <family val="2"/>
    </font>
    <font>
      <i/>
      <sz val="10"/>
      <color indexed="8"/>
      <name val="Arial"/>
      <family val="2"/>
    </font>
    <font>
      <sz val="8"/>
      <name val="Arial CE"/>
      <charset val="238"/>
    </font>
    <font>
      <sz val="11"/>
      <color indexed="10"/>
      <name val="新細明體"/>
      <charset val="134"/>
    </font>
    <font>
      <sz val="12"/>
      <name val="ｹﾙﾅﾁﾃｼ"/>
      <charset val="128"/>
    </font>
    <font>
      <u/>
      <sz val="14"/>
      <name val="ＭＳ Ｐゴシック"/>
      <charset val="134"/>
    </font>
    <font>
      <b/>
      <sz val="11"/>
      <color indexed="9"/>
      <name val="ＭＳ Ｐゴシック"/>
      <charset val="134"/>
    </font>
    <font>
      <sz val="11"/>
      <name val="ｵｸｿ "/>
      <charset val="128"/>
    </font>
    <font>
      <sz val="11"/>
      <color indexed="60"/>
      <name val="ＭＳ Ｐゴシック"/>
      <charset val="134"/>
    </font>
    <font>
      <u/>
      <sz val="11"/>
      <color indexed="12"/>
      <name val="ＭＳ Ｐゴシック"/>
      <charset val="134"/>
    </font>
    <font>
      <u/>
      <sz val="7.5"/>
      <color indexed="12"/>
      <name val="Arial"/>
      <family val="2"/>
    </font>
    <font>
      <sz val="11"/>
      <color indexed="52"/>
      <name val="ＭＳ Ｐゴシック"/>
      <charset val="134"/>
    </font>
    <font>
      <sz val="12"/>
      <name val="ทsฒำฉ๚ล้"/>
      <family val="1"/>
    </font>
    <font>
      <sz val="11"/>
      <name val="굴림"/>
      <charset val="129"/>
    </font>
    <font>
      <u/>
      <sz val="11"/>
      <color indexed="36"/>
      <name val=" "/>
      <charset val="136"/>
    </font>
    <font>
      <sz val="11"/>
      <color indexed="8"/>
      <name val="?? ?打扑永弁"/>
      <charset val="128"/>
    </font>
    <font>
      <u/>
      <sz val="11"/>
      <color indexed="12"/>
      <name val=" "/>
      <charset val="136"/>
    </font>
    <font>
      <sz val="12"/>
      <name val="?"/>
      <charset val="136"/>
    </font>
    <font>
      <sz val="12"/>
      <name val="陔?隴闚"/>
      <charset val="136"/>
    </font>
    <font>
      <sz val="8"/>
      <name val="ＭＳ ゴシック"/>
      <charset val="128"/>
    </font>
    <font>
      <u/>
      <sz val="9"/>
      <color indexed="12"/>
      <name val="Times New Roman"/>
      <family val="1"/>
    </font>
    <font>
      <u/>
      <sz val="9.6"/>
      <color indexed="12"/>
      <name val="Times New Roman"/>
      <family val="1"/>
    </font>
    <font>
      <b/>
      <sz val="15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3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u/>
      <sz val="11"/>
      <color indexed="36"/>
      <name val="ＭＳ Ｐゴシック"/>
      <charset val="134"/>
    </font>
    <font>
      <u/>
      <sz val="7.5"/>
      <color indexed="36"/>
      <name val="Arial"/>
      <family val="2"/>
    </font>
    <font>
      <sz val="12"/>
      <color indexed="24"/>
      <name val="바탕체"/>
      <charset val="134"/>
    </font>
    <font>
      <b/>
      <sz val="18"/>
      <color indexed="24"/>
      <name val="바탕체"/>
      <charset val="134"/>
    </font>
    <font>
      <b/>
      <sz val="15"/>
      <color indexed="24"/>
      <name val="바탕체"/>
      <charset val="134"/>
    </font>
    <font>
      <sz val="11"/>
      <color rgb="FF9C0006"/>
      <name val="宋体"/>
      <family val="3"/>
      <charset val="134"/>
      <scheme val="minor"/>
    </font>
    <font>
      <sz val="12"/>
      <color indexed="20"/>
      <name val="宋体"/>
      <family val="3"/>
      <charset val="134"/>
    </font>
    <font>
      <sz val="11"/>
      <color indexed="16"/>
      <name val="宋体"/>
      <family val="3"/>
      <charset val="134"/>
    </font>
    <font>
      <sz val="9"/>
      <color rgb="FF9C0006"/>
      <name val="Calibri"/>
      <family val="2"/>
    </font>
    <font>
      <sz val="10"/>
      <name val="微软雅黑"/>
      <family val="2"/>
      <charset val="134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u/>
      <sz val="12"/>
      <color indexed="12"/>
      <name val="新細明體"/>
      <charset val="134"/>
    </font>
    <font>
      <u/>
      <sz val="11"/>
      <color theme="10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Arial"/>
      <family val="2"/>
    </font>
    <font>
      <u/>
      <sz val="11"/>
      <color indexed="12"/>
      <name val="Calibri"/>
      <family val="2"/>
    </font>
    <font>
      <u/>
      <sz val="12"/>
      <color indexed="39"/>
      <name val="宋体"/>
      <family val="3"/>
      <charset val="134"/>
    </font>
    <font>
      <b/>
      <sz val="11"/>
      <color indexed="63"/>
      <name val="ＭＳ Ｐゴシック"/>
      <charset val="134"/>
    </font>
    <font>
      <sz val="12"/>
      <name val="冼极"/>
      <charset val="134"/>
    </font>
    <font>
      <sz val="11"/>
      <color indexed="20"/>
      <name val="ＭＳ Ｐゴシック"/>
      <charset val="134"/>
    </font>
    <font>
      <sz val="11"/>
      <color rgb="FF006100"/>
      <name val="宋体"/>
      <family val="3"/>
      <charset val="134"/>
      <scheme val="minor"/>
    </font>
    <font>
      <sz val="12"/>
      <color rgb="FF006100"/>
      <name val="Calibri"/>
      <family val="2"/>
    </font>
    <font>
      <sz val="12"/>
      <color indexed="21"/>
      <name val="新細明體"/>
      <charset val="134"/>
    </font>
    <font>
      <sz val="12"/>
      <color indexed="17"/>
      <name val="Calibri"/>
      <family val="2"/>
    </font>
    <font>
      <sz val="10"/>
      <color indexed="17"/>
      <name val="Verdana"/>
      <family val="2"/>
    </font>
    <font>
      <sz val="11"/>
      <color indexed="58"/>
      <name val="宋体"/>
      <family val="3"/>
      <charset val="134"/>
    </font>
    <font>
      <sz val="12"/>
      <color rgb="FF006100"/>
      <name val="宋体"/>
      <family val="3"/>
      <charset val="134"/>
      <scheme val="minor"/>
    </font>
    <font>
      <sz val="12"/>
      <color indexed="17"/>
      <name val="Arial"/>
      <family val="2"/>
    </font>
    <font>
      <sz val="10"/>
      <color indexed="17"/>
      <name val="微軟正黑體"/>
      <charset val="136"/>
    </font>
    <font>
      <sz val="12"/>
      <color indexed="17"/>
      <name val="宋体"/>
      <family val="3"/>
      <charset val="134"/>
    </font>
    <font>
      <sz val="10"/>
      <color indexed="17"/>
      <name val="Arial"/>
      <family val="2"/>
    </font>
    <font>
      <sz val="9"/>
      <color rgb="FF006100"/>
      <name val="Calibri"/>
      <family val="2"/>
    </font>
    <font>
      <b/>
      <sz val="11"/>
      <color theme="1"/>
      <name val="宋体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12"/>
      <color rgb="FF9C0006"/>
      <name val="Calibri"/>
      <family val="2"/>
    </font>
    <font>
      <sz val="12"/>
      <color indexed="20"/>
      <name val="Calibri"/>
      <family val="2"/>
    </font>
    <font>
      <sz val="10"/>
      <color indexed="20"/>
      <name val="Verdana"/>
      <family val="2"/>
    </font>
    <font>
      <sz val="12"/>
      <color rgb="FF9C0006"/>
      <name val="宋体"/>
      <family val="3"/>
      <charset val="134"/>
      <scheme val="minor"/>
    </font>
    <font>
      <sz val="12"/>
      <color indexed="20"/>
      <name val="Arial"/>
      <family val="2"/>
    </font>
    <font>
      <sz val="10"/>
      <color indexed="20"/>
      <name val="微軟正黑體"/>
      <charset val="136"/>
    </font>
    <font>
      <sz val="11"/>
      <color indexed="20"/>
      <name val="Arial"/>
      <family val="2"/>
    </font>
    <font>
      <b/>
      <sz val="11"/>
      <color indexed="8"/>
      <name val="宋体"/>
      <family val="3"/>
      <charset val="134"/>
    </font>
    <font>
      <sz val="8"/>
      <name val="Trebuchet MS"/>
      <family val="2"/>
    </font>
    <font>
      <b/>
      <sz val="11"/>
      <color indexed="8"/>
      <name val="ＭＳ Ｐゴシック"/>
      <charset val="134"/>
    </font>
    <font>
      <b/>
      <sz val="11"/>
      <color indexed="52"/>
      <name val="宋体"/>
      <family val="3"/>
      <charset val="134"/>
    </font>
    <font>
      <b/>
      <sz val="11"/>
      <color rgb="FFFA7D00"/>
      <name val="宋体"/>
      <family val="3"/>
      <charset val="134"/>
      <scheme val="minor"/>
    </font>
    <font>
      <b/>
      <sz val="12"/>
      <color indexed="52"/>
      <name val="宋体"/>
      <family val="3"/>
      <charset val="134"/>
    </font>
    <font>
      <b/>
      <sz val="11"/>
      <color indexed="52"/>
      <name val="ＭＳ Ｐゴシック"/>
      <charset val="134"/>
    </font>
    <font>
      <b/>
      <sz val="11"/>
      <color indexed="9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2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2"/>
      <color theme="0"/>
      <name val="Calibri"/>
      <family val="2"/>
    </font>
    <font>
      <b/>
      <sz val="12"/>
      <color indexed="42"/>
      <name val="新細明體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b/>
      <sz val="8"/>
      <name val="ｺﾞｼｯｸ"/>
      <charset val="128"/>
    </font>
    <font>
      <i/>
      <sz val="11"/>
      <color indexed="23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1"/>
      <color indexed="10"/>
      <name val="ＭＳ Ｐゴシック"/>
      <charset val="134"/>
    </font>
    <font>
      <sz val="11"/>
      <color indexed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rgb="FFFF0000"/>
      <name val="Calibri"/>
      <family val="2"/>
    </font>
    <font>
      <sz val="12"/>
      <color rgb="FFFA7D00"/>
      <name val="Calibri"/>
      <family val="2"/>
    </font>
    <font>
      <sz val="12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7"/>
      <name val="ＭＳ Ｐゴシック"/>
      <charset val="134"/>
    </font>
    <font>
      <u/>
      <sz val="10"/>
      <color indexed="14"/>
      <name val="돋움체"/>
      <charset val="134"/>
    </font>
    <font>
      <b/>
      <sz val="10"/>
      <name val="ＭＳ Ｐゴシック"/>
      <charset val="134"/>
    </font>
    <font>
      <b/>
      <u/>
      <sz val="10"/>
      <name val="ＭＳ Ｐゴシック"/>
      <charset val="134"/>
    </font>
    <font>
      <sz val="11"/>
      <color indexed="62"/>
      <name val="ＭＳ Ｐゴシック"/>
      <charset val="134"/>
    </font>
    <font>
      <u/>
      <sz val="9"/>
      <color indexed="36"/>
      <name val="Times New Roman"/>
      <family val="1"/>
    </font>
    <font>
      <sz val="11"/>
      <color indexed="60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2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2"/>
      <color indexed="63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2"/>
      <color indexed="62"/>
      <name val="宋体"/>
      <family val="3"/>
      <charset val="134"/>
    </font>
    <font>
      <i/>
      <sz val="12"/>
      <color rgb="FF7F7F7F"/>
      <name val="Calibri"/>
      <family val="2"/>
    </font>
    <font>
      <i/>
      <sz val="11"/>
      <color indexed="23"/>
      <name val="ＭＳ Ｐゴシック"/>
      <charset val="134"/>
    </font>
    <font>
      <u/>
      <sz val="9.6"/>
      <color indexed="20"/>
      <name val="Times New Roman"/>
      <family val="1"/>
    </font>
    <font>
      <u/>
      <sz val="12"/>
      <color indexed="36"/>
      <name val="新細明體"/>
      <charset val="134"/>
    </font>
    <font>
      <sz val="12"/>
      <name val="細明朝体"/>
      <charset val="128"/>
    </font>
    <font>
      <sz val="14"/>
      <name val="細明朝体"/>
      <charset val="128"/>
    </font>
    <font>
      <sz val="10"/>
      <color theme="1"/>
      <name val="Arial"/>
      <family val="2"/>
    </font>
    <font>
      <sz val="11"/>
      <name val="Calibri"/>
      <family val="2"/>
    </font>
    <font>
      <sz val="11"/>
      <color indexed="8"/>
      <name val="冼极"/>
      <charset val="134"/>
    </font>
    <font>
      <sz val="10"/>
      <color indexed="8"/>
      <name val="新細明體"/>
      <charset val="134"/>
    </font>
    <font>
      <sz val="10"/>
      <name val="Microsoft YaHei"/>
      <charset val="136"/>
    </font>
    <font>
      <sz val="11"/>
      <color rgb="FF000000"/>
      <name val="新細明體"/>
      <charset val="134"/>
    </font>
    <font>
      <sz val="10"/>
      <color indexed="8"/>
      <name val="ＭＳ Ｐゴシック"/>
      <charset val="134"/>
    </font>
    <font>
      <sz val="12"/>
      <name val="中ゴシック体"/>
      <charset val="128"/>
    </font>
    <font>
      <sz val="14"/>
      <name val="中ゴシック体"/>
      <charset val="128"/>
    </font>
    <font>
      <sz val="18"/>
      <name val="中ゴシック体"/>
      <charset val="128"/>
    </font>
    <font>
      <sz val="12"/>
      <color rgb="FF9C6500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5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30"/>
        <bgColor indexed="21"/>
      </patternFill>
    </fill>
    <fill>
      <patternFill patternType="solid">
        <fgColor indexed="47"/>
        <bgColor indexed="41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1"/>
        <bgColor indexed="50"/>
      </patternFill>
    </fill>
    <fill>
      <patternFill patternType="solid">
        <fgColor indexed="29"/>
        <bgColor indexed="45"/>
      </patternFill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8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theme="5" tint="0.79946287423322249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theme="6" tint="0.7994628742332224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theme="7" tint="0.79946287423322249"/>
        <bgColor indexed="64"/>
      </patternFill>
    </fill>
    <fill>
      <patternFill patternType="solid">
        <fgColor indexed="46"/>
        <bgColor indexed="46"/>
      </patternFill>
    </fill>
    <fill>
      <patternFill patternType="solid">
        <fgColor theme="8" tint="0.79946287423322249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theme="9" tint="0.79946287423322249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31"/>
        <bgColor indexed="45"/>
      </patternFill>
    </fill>
    <fill>
      <patternFill patternType="solid">
        <fgColor indexed="41"/>
        <bgColor indexed="45"/>
      </patternFill>
    </fill>
    <fill>
      <patternFill patternType="solid">
        <fgColor indexed="47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51"/>
      </patternFill>
    </fill>
    <fill>
      <patternFill patternType="solid">
        <fgColor indexed="29"/>
        <b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49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theme="4" tint="0.39945677053132728"/>
        <bgColor indexed="64"/>
      </patternFill>
    </fill>
    <fill>
      <patternFill patternType="solid">
        <fgColor indexed="30"/>
        <bgColor indexed="30"/>
      </patternFill>
    </fill>
    <fill>
      <patternFill patternType="solid">
        <fgColor theme="5" tint="0.39945677053132728"/>
        <bgColor indexed="64"/>
      </patternFill>
    </fill>
    <fill>
      <patternFill patternType="solid">
        <fgColor theme="6" tint="0.39945677053132728"/>
        <bgColor indexed="64"/>
      </patternFill>
    </fill>
    <fill>
      <patternFill patternType="solid">
        <fgColor theme="7" tint="0.39945677053132728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theme="8" tint="0.39945677053132728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theme="9" tint="0.39945677053132728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20"/>
        <bgColor indexed="64"/>
      </patternFill>
    </fill>
    <fill>
      <patternFill patternType="solid">
        <fgColor theme="4" tint="0.39942625202185128"/>
        <bgColor indexed="64"/>
      </patternFill>
    </fill>
    <fill>
      <patternFill patternType="solid">
        <fgColor theme="5" tint="0.39942625202185128"/>
        <bgColor indexed="64"/>
      </patternFill>
    </fill>
    <fill>
      <patternFill patternType="solid">
        <fgColor theme="6" tint="0.39942625202185128"/>
        <bgColor indexed="64"/>
      </patternFill>
    </fill>
    <fill>
      <patternFill patternType="solid">
        <fgColor theme="7" tint="0.39942625202185128"/>
        <bgColor indexed="64"/>
      </patternFill>
    </fill>
    <fill>
      <patternFill patternType="solid">
        <fgColor theme="8" tint="0.39942625202185128"/>
        <bgColor indexed="64"/>
      </patternFill>
    </fill>
    <fill>
      <patternFill patternType="solid">
        <fgColor theme="9" tint="0.3994262520218512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1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36"/>
      </patternFill>
    </fill>
    <fill>
      <patternFill patternType="solid">
        <fgColor indexed="54"/>
        <bgColor indexed="64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55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2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62"/>
        <bgColor indexed="62"/>
      </patternFill>
    </fill>
    <fill>
      <patternFill patternType="solid">
        <fgColor indexed="10"/>
        <bgColor indexed="10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55"/>
        <bgColor indexed="55"/>
      </patternFill>
    </fill>
    <fill>
      <patternFill patternType="solid">
        <fgColor indexed="26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5"/>
        <bgColor indexed="64"/>
      </patternFill>
    </fill>
    <fill>
      <patternFill patternType="gray0625">
        <fgColor indexed="10"/>
        <bgColor indexed="15"/>
      </patternFill>
    </fill>
    <fill>
      <patternFill patternType="lightGray"/>
    </fill>
    <fill>
      <patternFill patternType="gray0625"/>
    </fill>
    <fill>
      <patternFill patternType="solid">
        <fgColor indexed="47"/>
        <bgColor indexed="26"/>
      </patternFill>
    </fill>
    <fill>
      <patternFill patternType="solid">
        <fgColor indexed="13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darkGray">
        <fgColor indexed="15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26"/>
      </patternFill>
    </fill>
    <fill>
      <patternFill patternType="lightUp"/>
    </fill>
    <fill>
      <patternFill patternType="solid">
        <fgColor indexed="22"/>
        <bgColor indexed="2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2"/>
        <bgColor indexed="41"/>
      </patternFill>
    </fill>
    <fill>
      <patternFill patternType="solid">
        <fgColor indexed="45"/>
        <bgColor indexed="13"/>
      </patternFill>
    </fill>
    <fill>
      <patternFill patternType="solid">
        <fgColor indexed="45"/>
        <bgColor indexed="61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indexed="37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indexed="62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3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4567705313272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double">
        <color auto="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750">
    <xf numFmtId="0" fontId="0" fillId="0" borderId="0">
      <alignment vertical="center"/>
    </xf>
    <xf numFmtId="40" fontId="1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0"/>
    <xf numFmtId="0" fontId="19" fillId="0" borderId="0"/>
    <xf numFmtId="0" fontId="20" fillId="21" borderId="0" applyNumberFormat="0" applyBorder="0" applyAlignment="0" applyProtection="0"/>
    <xf numFmtId="0" fontId="21" fillId="0" borderId="0" applyNumberFormat="0" applyBorder="0" applyProtection="0"/>
    <xf numFmtId="0" fontId="22" fillId="0" borderId="0" applyNumberFormat="0" applyBorder="0" applyProtection="0"/>
    <xf numFmtId="180" fontId="18" fillId="0" borderId="0"/>
    <xf numFmtId="0" fontId="23" fillId="0" borderId="0"/>
    <xf numFmtId="0" fontId="24" fillId="0" borderId="0"/>
    <xf numFmtId="0" fontId="25" fillId="0" borderId="0"/>
    <xf numFmtId="38" fontId="14" fillId="0" borderId="0" applyFont="0" applyFill="0" applyBorder="0" applyAlignment="0" applyProtection="0"/>
    <xf numFmtId="180" fontId="16" fillId="0" borderId="0"/>
    <xf numFmtId="180" fontId="20" fillId="0" borderId="0"/>
    <xf numFmtId="0" fontId="26" fillId="0" borderId="0" applyFont="0" applyFill="0" applyBorder="0" applyAlignment="0" applyProtection="0"/>
    <xf numFmtId="0" fontId="20" fillId="0" borderId="0" applyFill="0" applyBorder="0" applyAlignment="0" applyProtection="0"/>
    <xf numFmtId="0" fontId="24" fillId="0" borderId="0">
      <alignment vertical="center"/>
    </xf>
    <xf numFmtId="180" fontId="19" fillId="0" borderId="0"/>
    <xf numFmtId="180" fontId="24" fillId="0" borderId="0"/>
    <xf numFmtId="181" fontId="27" fillId="0" borderId="0" applyFill="0" applyBorder="0" applyAlignment="0" applyProtection="0"/>
    <xf numFmtId="0" fontId="27" fillId="0" borderId="0" applyFill="0" applyBorder="0" applyAlignment="0" applyProtection="0"/>
    <xf numFmtId="182" fontId="27" fillId="0" borderId="0" applyFill="0" applyBorder="0" applyAlignment="0" applyProtection="0"/>
    <xf numFmtId="0" fontId="28" fillId="0" borderId="0" applyFont="0" applyFill="0" applyBorder="0" applyAlignment="0" applyProtection="0"/>
    <xf numFmtId="9" fontId="29" fillId="0" borderId="0" applyFont="0" applyFill="0" applyBorder="0" applyAlignment="0" applyProtection="0">
      <alignment horizontal="right"/>
    </xf>
    <xf numFmtId="0" fontId="30" fillId="0" borderId="0"/>
    <xf numFmtId="183" fontId="27" fillId="0" borderId="0" applyFill="0" applyBorder="0" applyAlignment="0" applyProtection="0"/>
    <xf numFmtId="184" fontId="27" fillId="0" borderId="0" applyFill="0" applyBorder="0" applyAlignment="0" applyProtection="0"/>
    <xf numFmtId="185" fontId="28" fillId="0" borderId="0" applyFont="0" applyFill="0" applyBorder="0" applyAlignment="0" applyProtection="0"/>
    <xf numFmtId="186" fontId="29" fillId="0" borderId="0" applyFont="0" applyFill="0" applyBorder="0" applyAlignment="0" applyProtection="0">
      <alignment horizontal="right"/>
    </xf>
    <xf numFmtId="10" fontId="29" fillId="0" borderId="0" applyFont="0" applyFill="0" applyBorder="0" applyAlignment="0" applyProtection="0">
      <alignment horizontal="right"/>
    </xf>
    <xf numFmtId="187" fontId="23" fillId="0" borderId="0">
      <alignment vertical="center"/>
    </xf>
    <xf numFmtId="187" fontId="23" fillId="0" borderId="0"/>
    <xf numFmtId="0" fontId="26" fillId="0" borderId="0"/>
    <xf numFmtId="188" fontId="24" fillId="0" borderId="0"/>
    <xf numFmtId="0" fontId="31" fillId="22" borderId="0" applyNumberFormat="0" applyBorder="0" applyAlignment="0" applyProtection="0">
      <alignment vertical="center"/>
    </xf>
    <xf numFmtId="189" fontId="20" fillId="0" borderId="0" applyFill="0" applyBorder="0" applyProtection="0">
      <alignment vertical="center"/>
    </xf>
    <xf numFmtId="190" fontId="20" fillId="0" borderId="0" applyFill="0" applyBorder="0" applyProtection="0">
      <alignment vertical="center"/>
    </xf>
    <xf numFmtId="191" fontId="16" fillId="0" borderId="0" applyFont="0" applyFill="0" applyBorder="0" applyAlignment="0" applyProtection="0"/>
    <xf numFmtId="41" fontId="32" fillId="0" borderId="0" applyFont="0" applyFill="0" applyBorder="0" applyAlignment="0" applyProtection="0"/>
    <xf numFmtId="0" fontId="33" fillId="0" borderId="0"/>
    <xf numFmtId="0" fontId="34" fillId="0" borderId="0"/>
    <xf numFmtId="0" fontId="26" fillId="0" borderId="0" applyProtection="0"/>
    <xf numFmtId="0" fontId="35" fillId="0" borderId="0"/>
    <xf numFmtId="192" fontId="16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9" fontId="53" fillId="0" borderId="0" applyFont="0" applyFill="0" applyBorder="0" applyAlignment="0" applyProtection="0"/>
    <xf numFmtId="193" fontId="20" fillId="0" borderId="0" applyFill="0" applyBorder="0" applyAlignment="0" applyProtection="0"/>
    <xf numFmtId="0" fontId="54" fillId="23" borderId="0" applyNumberFormat="0" applyBorder="0" applyAlignment="0" applyProtection="0">
      <alignment vertical="center"/>
    </xf>
    <xf numFmtId="0" fontId="53" fillId="0" borderId="0"/>
    <xf numFmtId="194" fontId="16" fillId="0" borderId="0" applyFont="0" applyFill="0" applyBorder="0" applyAlignment="0" applyProtection="0"/>
    <xf numFmtId="195" fontId="53" fillId="0" borderId="0" applyFont="0" applyFill="0" applyBorder="0" applyAlignment="0" applyProtection="0"/>
    <xf numFmtId="41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top"/>
      <protection locked="0"/>
    </xf>
    <xf numFmtId="180" fontId="57" fillId="0" borderId="0"/>
    <xf numFmtId="0" fontId="54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188" fontId="16" fillId="0" borderId="0"/>
    <xf numFmtId="188" fontId="20" fillId="0" borderId="0"/>
    <xf numFmtId="0" fontId="58" fillId="28" borderId="0" applyNumberFormat="0" applyBorder="0" applyAlignment="0" applyProtection="0">
      <alignment vertical="center"/>
    </xf>
    <xf numFmtId="0" fontId="59" fillId="25" borderId="0" applyNumberFormat="0" applyAlignment="0" applyProtection="0"/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180" fontId="60" fillId="0" borderId="0"/>
    <xf numFmtId="0" fontId="20" fillId="24" borderId="0" applyNumberFormat="0" applyBorder="0" applyAlignment="0" applyProtection="0">
      <alignment vertical="center"/>
    </xf>
    <xf numFmtId="0" fontId="61" fillId="0" borderId="0"/>
    <xf numFmtId="196" fontId="53" fillId="0" borderId="0" applyFont="0" applyFill="0" applyBorder="0" applyAlignment="0" applyProtection="0"/>
    <xf numFmtId="196" fontId="5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95" fontId="55" fillId="0" borderId="0" applyFont="0" applyFill="0" applyBorder="0" applyAlignment="0" applyProtection="0"/>
    <xf numFmtId="0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179" fontId="62" fillId="0" borderId="0" applyFont="0" applyFill="0" applyBorder="0" applyAlignment="0" applyProtection="0"/>
    <xf numFmtId="194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9" fontId="20" fillId="0" borderId="0" applyFill="0" applyBorder="0" applyProtection="0">
      <alignment vertical="center"/>
    </xf>
    <xf numFmtId="0" fontId="65" fillId="0" borderId="0"/>
    <xf numFmtId="0" fontId="66" fillId="0" borderId="0"/>
    <xf numFmtId="0" fontId="67" fillId="0" borderId="0"/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80" fontId="51" fillId="0" borderId="0" applyNumberFormat="0" applyFill="0" applyBorder="0" applyAlignment="0" applyProtection="0">
      <alignment vertical="top"/>
      <protection locked="0"/>
    </xf>
    <xf numFmtId="188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Protection="0">
      <alignment vertical="center"/>
    </xf>
    <xf numFmtId="0" fontId="69" fillId="0" borderId="0"/>
    <xf numFmtId="9" fontId="20" fillId="0" borderId="0" applyFill="0" applyBorder="0" applyAlignment="0" applyProtection="0"/>
    <xf numFmtId="199" fontId="20" fillId="0" borderId="0" applyFill="0" applyBorder="0" applyAlignment="0" applyProtection="0"/>
    <xf numFmtId="0" fontId="70" fillId="0" borderId="0" applyNumberFormat="0" applyFill="0" applyBorder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188" fontId="71" fillId="0" borderId="0" applyNumberFormat="0" applyFill="0" applyBorder="0" applyAlignment="0" applyProtection="0">
      <alignment vertical="center"/>
    </xf>
    <xf numFmtId="180" fontId="71" fillId="0" borderId="0" applyNumberFormat="0" applyFill="0" applyBorder="0" applyAlignment="0" applyProtection="0">
      <alignment vertical="center"/>
    </xf>
    <xf numFmtId="0" fontId="72" fillId="0" borderId="0" applyFont="0" applyFill="0" applyBorder="0" applyAlignment="0" applyProtection="0"/>
    <xf numFmtId="188" fontId="73" fillId="24" borderId="11" applyNumberFormat="0" applyAlignment="0" applyProtection="0">
      <alignment vertical="center"/>
    </xf>
    <xf numFmtId="180" fontId="73" fillId="24" borderId="11" applyNumberFormat="0" applyAlignment="0" applyProtection="0">
      <alignment vertical="center"/>
    </xf>
    <xf numFmtId="180" fontId="20" fillId="0" borderId="0">
      <alignment vertical="center"/>
    </xf>
    <xf numFmtId="0" fontId="74" fillId="0" borderId="0"/>
    <xf numFmtId="0" fontId="20" fillId="31" borderId="0" applyNumberFormat="0" applyBorder="0" applyAlignment="0" applyProtection="0"/>
    <xf numFmtId="0" fontId="20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180" fontId="16" fillId="0" borderId="0" applyNumberFormat="0" applyFill="0" applyBorder="0" applyAlignment="0" applyProtection="0"/>
    <xf numFmtId="0" fontId="75" fillId="0" borderId="0">
      <alignment vertical="center"/>
    </xf>
    <xf numFmtId="0" fontId="20" fillId="32" borderId="0" applyNumberFormat="0" applyBorder="0" applyAlignment="0" applyProtection="0"/>
    <xf numFmtId="180" fontId="75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20" fillId="33" borderId="0" applyNumberFormat="0" applyBorder="0" applyAlignment="0" applyProtection="0"/>
    <xf numFmtId="0" fontId="16" fillId="0" borderId="0" applyNumberFormat="0" applyFill="0" applyBorder="0" applyProtection="0">
      <alignment vertical="center"/>
    </xf>
    <xf numFmtId="180" fontId="16" fillId="0" borderId="0" applyNumberFormat="0" applyFill="0" applyBorder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76" fillId="24" borderId="0" applyNumberFormat="0" applyAlignment="0" applyProtection="0"/>
    <xf numFmtId="0" fontId="77" fillId="26" borderId="0" applyNumberFormat="0" applyAlignment="0" applyProtection="0"/>
    <xf numFmtId="0" fontId="59" fillId="25" borderId="0" applyNumberFormat="0" applyAlignment="0" applyProtection="0">
      <alignment vertical="center"/>
    </xf>
    <xf numFmtId="40" fontId="17" fillId="0" borderId="0" applyFont="0" applyFill="0" applyBorder="0" applyAlignment="0" applyProtection="0"/>
    <xf numFmtId="0" fontId="78" fillId="0" borderId="0"/>
    <xf numFmtId="188" fontId="78" fillId="0" borderId="0"/>
    <xf numFmtId="180" fontId="78" fillId="0" borderId="0"/>
    <xf numFmtId="180" fontId="75" fillId="0" borderId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3" fontId="15" fillId="0" borderId="0"/>
    <xf numFmtId="180" fontId="37" fillId="0" borderId="0"/>
    <xf numFmtId="0" fontId="20" fillId="37" borderId="0" applyNumberFormat="0" applyBorder="0" applyAlignment="0" applyProtection="0"/>
    <xf numFmtId="180" fontId="79" fillId="0" borderId="0"/>
    <xf numFmtId="0" fontId="20" fillId="27" borderId="0" applyNumberFormat="0" applyBorder="0" applyAlignment="0" applyProtection="0">
      <alignment vertical="center"/>
    </xf>
    <xf numFmtId="0" fontId="16" fillId="0" borderId="0" applyAlignment="0"/>
    <xf numFmtId="200" fontId="16" fillId="0" borderId="0"/>
    <xf numFmtId="0" fontId="80" fillId="30" borderId="0" applyNumberFormat="0" applyFont="0" applyAlignment="0" applyProtection="0"/>
    <xf numFmtId="0" fontId="20" fillId="3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180" fontId="23" fillId="0" borderId="0"/>
    <xf numFmtId="0" fontId="43" fillId="30" borderId="0" applyNumberFormat="0" applyFont="0" applyAlignment="0" applyProtection="0">
      <alignment vertical="center"/>
    </xf>
    <xf numFmtId="0" fontId="81" fillId="0" borderId="0" applyNumberFormat="0" applyFill="0" applyAlignment="0" applyProtection="0"/>
    <xf numFmtId="0" fontId="82" fillId="24" borderId="0" applyNumberFormat="0" applyAlignment="0" applyProtection="0"/>
    <xf numFmtId="0" fontId="83" fillId="24" borderId="0" applyNumberFormat="0" applyAlignment="0" applyProtection="0"/>
    <xf numFmtId="0" fontId="20" fillId="38" borderId="0" applyNumberFormat="0" applyBorder="0" applyAlignment="0" applyProtection="0"/>
    <xf numFmtId="200" fontId="18" fillId="0" borderId="0"/>
    <xf numFmtId="188" fontId="18" fillId="0" borderId="0"/>
    <xf numFmtId="180" fontId="84" fillId="0" borderId="0"/>
    <xf numFmtId="0" fontId="20" fillId="29" borderId="0" applyNumberFormat="0" applyBorder="0" applyAlignment="0" applyProtection="0">
      <alignment vertical="center"/>
    </xf>
    <xf numFmtId="180" fontId="18" fillId="0" borderId="0" applyProtection="0"/>
    <xf numFmtId="180" fontId="78" fillId="0" borderId="0" applyProtection="0"/>
    <xf numFmtId="180" fontId="16" fillId="0" borderId="0" applyProtection="0"/>
    <xf numFmtId="0" fontId="85" fillId="0" borderId="0"/>
    <xf numFmtId="0" fontId="86" fillId="0" borderId="0"/>
    <xf numFmtId="0" fontId="87" fillId="0" borderId="0"/>
    <xf numFmtId="0" fontId="18" fillId="0" borderId="0">
      <alignment vertical="center"/>
    </xf>
    <xf numFmtId="201" fontId="88" fillId="0" borderId="0"/>
    <xf numFmtId="0" fontId="89" fillId="0" borderId="0">
      <alignment vertical="center"/>
    </xf>
    <xf numFmtId="0" fontId="90" fillId="0" borderId="0" applyFont="0" applyFill="0" applyBorder="0" applyAlignment="0" applyProtection="0"/>
    <xf numFmtId="202" fontId="27" fillId="0" borderId="0" applyFill="0" applyBorder="0" applyAlignment="0" applyProtection="0"/>
    <xf numFmtId="203" fontId="91" fillId="0" borderId="0"/>
    <xf numFmtId="0" fontId="92" fillId="0" borderId="0" applyNumberFormat="0" applyFill="0" applyBorder="0" applyAlignment="0" applyProtection="0"/>
    <xf numFmtId="0" fontId="16" fillId="0" borderId="0">
      <alignment vertical="center"/>
    </xf>
    <xf numFmtId="0" fontId="62" fillId="0" borderId="0"/>
    <xf numFmtId="0" fontId="76" fillId="24" borderId="0" applyNumberFormat="0" applyAlignment="0" applyProtection="0">
      <alignment vertical="center"/>
    </xf>
    <xf numFmtId="0" fontId="93" fillId="39" borderId="0" applyNumberFormat="0" applyFont="0" applyAlignment="0">
      <alignment horizontal="center"/>
    </xf>
    <xf numFmtId="200" fontId="19" fillId="0" borderId="0"/>
    <xf numFmtId="0" fontId="94" fillId="0" borderId="0"/>
    <xf numFmtId="0" fontId="95" fillId="40" borderId="0">
      <alignment vertical="center"/>
    </xf>
    <xf numFmtId="0" fontId="96" fillId="30" borderId="0" applyNumberFormat="0" applyFont="0" applyAlignment="0" applyProtection="0"/>
    <xf numFmtId="180" fontId="97" fillId="0" borderId="0"/>
    <xf numFmtId="0" fontId="16" fillId="0" borderId="0" applyProtection="0"/>
    <xf numFmtId="0" fontId="16" fillId="0" borderId="0" applyProtection="0">
      <alignment vertical="center"/>
    </xf>
    <xf numFmtId="0" fontId="24" fillId="0" borderId="0" applyProtection="0"/>
    <xf numFmtId="0" fontId="20" fillId="0" borderId="0" applyProtection="0"/>
    <xf numFmtId="200" fontId="24" fillId="0" borderId="0"/>
    <xf numFmtId="0" fontId="98" fillId="0" borderId="0">
      <alignment vertical="center"/>
    </xf>
    <xf numFmtId="0" fontId="99" fillId="23" borderId="0" applyNumberFormat="0" applyBorder="0" applyAlignment="0" applyProtection="0">
      <alignment vertical="center"/>
    </xf>
    <xf numFmtId="0" fontId="14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72" fillId="0" borderId="0" applyFont="0" applyFill="0" applyBorder="0" applyAlignment="0" applyProtection="0"/>
    <xf numFmtId="207" fontId="72" fillId="0" borderId="0" applyFont="0" applyFill="0" applyBorder="0" applyAlignment="0" applyProtection="0"/>
    <xf numFmtId="208" fontId="27" fillId="0" borderId="0" applyFill="0" applyBorder="0" applyAlignment="0" applyProtection="0"/>
    <xf numFmtId="209" fontId="27" fillId="0" borderId="0" applyFill="0" applyBorder="0" applyAlignment="0" applyProtection="0"/>
    <xf numFmtId="0" fontId="100" fillId="0" borderId="0"/>
    <xf numFmtId="0" fontId="37" fillId="0" borderId="0" applyFont="0" applyFill="0" applyBorder="0" applyAlignment="0" applyProtection="0"/>
    <xf numFmtId="9" fontId="101" fillId="0" borderId="0" applyFont="0" applyFill="0" applyBorder="0" applyAlignment="0" applyProtection="0">
      <alignment horizontal="right"/>
    </xf>
    <xf numFmtId="186" fontId="101" fillId="0" borderId="0" applyFont="0" applyFill="0" applyBorder="0" applyAlignment="0" applyProtection="0">
      <alignment horizontal="right"/>
    </xf>
    <xf numFmtId="0" fontId="102" fillId="0" borderId="0"/>
    <xf numFmtId="0" fontId="103" fillId="0" borderId="0" applyNumberFormat="0" applyFill="0" applyBorder="0" applyAlignment="0" applyProtection="0">
      <alignment vertical="top"/>
      <protection locked="0"/>
    </xf>
    <xf numFmtId="210" fontId="16" fillId="0" borderId="0" applyFont="0" applyFill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05" fillId="0" borderId="0"/>
    <xf numFmtId="0" fontId="106" fillId="0" borderId="12" applyNumberFormat="0" applyFill="0" applyAlignment="0" applyProtection="0">
      <alignment vertical="center"/>
    </xf>
    <xf numFmtId="0" fontId="107" fillId="0" borderId="13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>
      <alignment vertical="center"/>
    </xf>
    <xf numFmtId="180" fontId="109" fillId="0" borderId="0" applyNumberFormat="0" applyFill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16" fillId="30" borderId="14" applyNumberFormat="0" applyFont="0" applyAlignment="0" applyProtection="0">
      <alignment vertical="center"/>
    </xf>
    <xf numFmtId="211" fontId="110" fillId="0" borderId="0" applyFont="0" applyFill="0" applyBorder="0" applyAlignment="0" applyProtection="0"/>
    <xf numFmtId="212" fontId="110" fillId="0" borderId="0" applyFont="0" applyFill="0" applyBorder="0" applyAlignment="0" applyProtection="0"/>
    <xf numFmtId="213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214" fontId="112" fillId="0" borderId="0" applyFont="0" applyFill="0" applyBorder="0" applyAlignment="0" applyProtection="0"/>
    <xf numFmtId="215" fontId="110" fillId="0" borderId="0" applyFont="0" applyFill="0" applyBorder="0" applyAlignment="0" applyProtection="0"/>
    <xf numFmtId="216" fontId="16" fillId="0" borderId="0" applyFont="0" applyFill="0" applyBorder="0" applyAlignment="0" applyProtection="0"/>
    <xf numFmtId="217" fontId="16" fillId="0" borderId="0" applyFon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/>
    <xf numFmtId="218" fontId="27" fillId="0" borderId="0" applyFill="0" applyBorder="0" applyAlignment="0" applyProtection="0"/>
    <xf numFmtId="40" fontId="27" fillId="0" borderId="0" applyFill="0" applyBorder="0" applyAlignment="0" applyProtection="0"/>
    <xf numFmtId="219" fontId="115" fillId="0" borderId="15" applyFont="0" applyFill="0" applyBorder="0" applyAlignment="0" applyProtection="0">
      <alignment horizontal="center"/>
    </xf>
    <xf numFmtId="219" fontId="20" fillId="0" borderId="0" applyFill="0" applyBorder="0" applyAlignment="0" applyProtection="0"/>
    <xf numFmtId="219" fontId="116" fillId="0" borderId="15" applyFont="0" applyFill="0" applyBorder="0" applyAlignment="0" applyProtection="0">
      <alignment horizontal="center"/>
    </xf>
    <xf numFmtId="192" fontId="28" fillId="0" borderId="0" applyFont="0" applyFill="0" applyBorder="0" applyAlignment="0" applyProtection="0"/>
    <xf numFmtId="220" fontId="20" fillId="0" borderId="0" applyFill="0" applyBorder="0" applyAlignment="0" applyProtection="0"/>
    <xf numFmtId="221" fontId="28" fillId="0" borderId="0" applyFont="0" applyFill="0" applyBorder="0" applyAlignment="0" applyProtection="0"/>
    <xf numFmtId="222" fontId="28" fillId="0" borderId="0" applyFont="0" applyFill="0" applyBorder="0" applyAlignment="0" applyProtection="0"/>
    <xf numFmtId="222" fontId="20" fillId="0" borderId="0" applyFill="0" applyBorder="0" applyAlignment="0" applyProtection="0"/>
    <xf numFmtId="221" fontId="20" fillId="0" borderId="0" applyFill="0" applyBorder="0" applyAlignment="0" applyProtection="0"/>
    <xf numFmtId="223" fontId="28" fillId="0" borderId="0" applyFont="0" applyFill="0" applyBorder="0" applyAlignment="0" applyProtection="0"/>
    <xf numFmtId="224" fontId="72" fillId="0" borderId="0" applyFont="0" applyFill="0" applyBorder="0" applyAlignment="0" applyProtection="0"/>
    <xf numFmtId="225" fontId="20" fillId="0" borderId="0" applyFill="0" applyBorder="0" applyAlignment="0" applyProtection="0"/>
    <xf numFmtId="223" fontId="20" fillId="0" borderId="0" applyFill="0" applyBorder="0" applyAlignment="0" applyProtection="0"/>
    <xf numFmtId="226" fontId="16" fillId="0" borderId="0" applyFont="0" applyFill="0" applyBorder="0" applyAlignment="0" applyProtection="0"/>
    <xf numFmtId="226" fontId="20" fillId="0" borderId="0" applyFill="0" applyBorder="0" applyAlignment="0" applyProtection="0"/>
    <xf numFmtId="227" fontId="28" fillId="0" borderId="0" applyFont="0" applyFill="0" applyBorder="0" applyAlignment="0" applyProtection="0"/>
    <xf numFmtId="228" fontId="72" fillId="0" borderId="0" applyFont="0" applyFill="0" applyBorder="0" applyAlignment="0" applyProtection="0"/>
    <xf numFmtId="229" fontId="20" fillId="0" borderId="0" applyFill="0" applyBorder="0" applyAlignment="0" applyProtection="0"/>
    <xf numFmtId="227" fontId="20" fillId="0" borderId="0" applyFill="0" applyBorder="0" applyAlignment="0" applyProtection="0"/>
    <xf numFmtId="228" fontId="28" fillId="0" borderId="0" applyFont="0" applyFill="0" applyBorder="0" applyAlignment="0" applyProtection="0"/>
    <xf numFmtId="0" fontId="15" fillId="0" borderId="0" applyFont="0" applyFill="0" applyBorder="0" applyAlignment="0" applyProtection="0"/>
    <xf numFmtId="230" fontId="28" fillId="0" borderId="0" applyFont="0" applyFill="0" applyBorder="0" applyAlignment="0" applyProtection="0"/>
    <xf numFmtId="231" fontId="15" fillId="0" borderId="0" applyFont="0" applyFill="0" applyBorder="0" applyAlignment="0" applyProtection="0"/>
    <xf numFmtId="231" fontId="20" fillId="0" borderId="0" applyFill="0" applyBorder="0" applyAlignment="0" applyProtection="0"/>
    <xf numFmtId="230" fontId="20" fillId="0" borderId="0" applyFill="0" applyBorder="0" applyAlignment="0" applyProtection="0"/>
    <xf numFmtId="232" fontId="28" fillId="0" borderId="0" applyFont="0" applyFill="0" applyBorder="0" applyAlignment="0" applyProtection="0"/>
    <xf numFmtId="233" fontId="117" fillId="0" borderId="0" applyFont="0" applyFill="0" applyBorder="0" applyAlignment="0" applyProtection="0"/>
    <xf numFmtId="234" fontId="20" fillId="0" borderId="0" applyFill="0" applyBorder="0" applyAlignment="0" applyProtection="0"/>
    <xf numFmtId="232" fontId="20" fillId="0" borderId="0" applyFill="0" applyBorder="0" applyAlignment="0" applyProtection="0"/>
    <xf numFmtId="235" fontId="28" fillId="0" borderId="0" applyFont="0" applyFill="0" applyBorder="0" applyAlignment="0" applyProtection="0"/>
    <xf numFmtId="236" fontId="15" fillId="0" borderId="0" applyFont="0" applyFill="0" applyBorder="0" applyAlignment="0" applyProtection="0"/>
    <xf numFmtId="236" fontId="20" fillId="0" borderId="0" applyFill="0" applyBorder="0" applyAlignment="0" applyProtection="0"/>
    <xf numFmtId="235" fontId="20" fillId="0" borderId="0" applyFill="0" applyBorder="0" applyAlignment="0" applyProtection="0"/>
    <xf numFmtId="0" fontId="118" fillId="0" borderId="0" applyFont="0" applyFill="0" applyBorder="0" applyAlignment="0" applyProtection="0"/>
    <xf numFmtId="191" fontId="28" fillId="0" borderId="0" applyFont="0" applyFill="0" applyBorder="0" applyAlignment="0" applyProtection="0"/>
    <xf numFmtId="237" fontId="118" fillId="0" borderId="0" applyFont="0" applyFill="0" applyBorder="0" applyAlignment="0" applyProtection="0"/>
    <xf numFmtId="238" fontId="20" fillId="0" borderId="0" applyFill="0" applyBorder="0" applyAlignment="0" applyProtection="0"/>
    <xf numFmtId="239" fontId="20" fillId="0" borderId="0" applyFill="0" applyBorder="0" applyAlignment="0" applyProtection="0"/>
    <xf numFmtId="240" fontId="118" fillId="0" borderId="0" applyFont="0" applyFill="0" applyBorder="0" applyAlignment="0" applyProtection="0"/>
    <xf numFmtId="241" fontId="20" fillId="0" borderId="0" applyFill="0" applyBorder="0" applyAlignment="0" applyProtection="0"/>
    <xf numFmtId="242" fontId="28" fillId="0" borderId="0" applyFont="0" applyFill="0" applyBorder="0" applyAlignment="0" applyProtection="0"/>
    <xf numFmtId="243" fontId="28" fillId="0" borderId="0" applyFont="0" applyFill="0" applyBorder="0" applyAlignment="0" applyProtection="0"/>
    <xf numFmtId="244" fontId="20" fillId="0" borderId="0" applyFill="0" applyBorder="0" applyAlignment="0" applyProtection="0"/>
    <xf numFmtId="242" fontId="20" fillId="0" borderId="0" applyFill="0" applyBorder="0" applyAlignment="0" applyProtection="0"/>
    <xf numFmtId="224" fontId="16" fillId="0" borderId="0" applyFont="0" applyFill="0" applyBorder="0" applyAlignment="0" applyProtection="0"/>
    <xf numFmtId="245" fontId="27" fillId="0" borderId="0" applyFill="0" applyBorder="0" applyAlignment="0" applyProtection="0"/>
    <xf numFmtId="246" fontId="16" fillId="0" borderId="0" applyFont="0" applyFill="0" applyBorder="0" applyAlignment="0" applyProtection="0"/>
    <xf numFmtId="246" fontId="20" fillId="0" borderId="0" applyFill="0" applyBorder="0" applyAlignment="0" applyProtection="0"/>
    <xf numFmtId="247" fontId="16" fillId="0" borderId="0" applyFont="0" applyFill="0" applyBorder="0" applyAlignment="0" applyProtection="0"/>
    <xf numFmtId="245" fontId="20" fillId="0" borderId="0" applyFill="0" applyBorder="0" applyAlignment="0" applyProtection="0"/>
    <xf numFmtId="248" fontId="28" fillId="0" borderId="0" applyFont="0" applyFill="0" applyBorder="0" applyAlignment="0" applyProtection="0"/>
    <xf numFmtId="249" fontId="72" fillId="0" borderId="0" applyFont="0" applyFill="0" applyBorder="0" applyAlignment="0" applyProtection="0"/>
    <xf numFmtId="249" fontId="20" fillId="0" borderId="0" applyFill="0" applyBorder="0" applyAlignment="0" applyProtection="0"/>
    <xf numFmtId="248" fontId="20" fillId="0" borderId="0" applyFill="0" applyBorder="0" applyAlignment="0" applyProtection="0"/>
    <xf numFmtId="250" fontId="28" fillId="0" borderId="16">
      <alignment horizontal="center"/>
    </xf>
    <xf numFmtId="0" fontId="119" fillId="0" borderId="16">
      <alignment horizontal="center"/>
    </xf>
    <xf numFmtId="219" fontId="120" fillId="0" borderId="15" applyFont="0" applyFill="0" applyBorder="0" applyAlignment="0" applyProtection="0">
      <alignment horizontal="center"/>
    </xf>
    <xf numFmtId="0" fontId="121" fillId="0" borderId="0"/>
    <xf numFmtId="10" fontId="16" fillId="0" borderId="0" applyFont="0" applyFill="0" applyBorder="0" applyAlignment="0" applyProtection="0"/>
    <xf numFmtId="251" fontId="20" fillId="0" borderId="0" applyFont="0" applyFill="0" applyBorder="0" applyAlignment="0" applyProtection="0"/>
    <xf numFmtId="0" fontId="28" fillId="0" borderId="0"/>
    <xf numFmtId="0" fontId="122" fillId="0" borderId="0">
      <alignment horizontal="left"/>
    </xf>
    <xf numFmtId="0" fontId="123" fillId="42" borderId="0" applyNumberFormat="0" applyBorder="0" applyAlignment="0" applyProtection="0"/>
    <xf numFmtId="0" fontId="123" fillId="22" borderId="0" applyNumberFormat="0" applyBorder="0" applyAlignment="0" applyProtection="0"/>
    <xf numFmtId="0" fontId="123" fillId="28" borderId="0" applyNumberFormat="0" applyBorder="0" applyAlignment="0" applyProtection="0"/>
    <xf numFmtId="0" fontId="123" fillId="43" borderId="0" applyNumberFormat="0" applyBorder="0" applyAlignment="0" applyProtection="0"/>
    <xf numFmtId="0" fontId="123" fillId="27" borderId="0" applyNumberFormat="0" applyBorder="0" applyAlignment="0" applyProtection="0"/>
    <xf numFmtId="0" fontId="123" fillId="25" borderId="0" applyNumberFormat="0" applyBorder="0" applyAlignment="0" applyProtection="0"/>
    <xf numFmtId="0" fontId="17" fillId="4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23" fillId="44" borderId="0" applyNumberFormat="0" applyBorder="0" applyAlignment="0" applyProtection="0"/>
    <xf numFmtId="0" fontId="17" fillId="26" borderId="0" applyNumberFormat="0" applyBorder="0" applyAlignment="0" applyProtection="0"/>
    <xf numFmtId="0" fontId="17" fillId="42" borderId="0" applyNumberFormat="0" applyBorder="0" applyAlignment="0" applyProtection="0"/>
    <xf numFmtId="0" fontId="123" fillId="4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2" borderId="0" applyNumberFormat="0" applyBorder="0" applyAlignment="0" applyProtection="0"/>
    <xf numFmtId="180" fontId="17" fillId="25" borderId="0" applyNumberFormat="0" applyBorder="0" applyAlignment="0" applyProtection="0"/>
    <xf numFmtId="180" fontId="123" fillId="22" borderId="0" applyNumberFormat="0" applyBorder="0" applyAlignment="0" applyProtection="0"/>
    <xf numFmtId="0" fontId="123" fillId="46" borderId="0" applyNumberFormat="0" applyBorder="0" applyAlignment="0" applyProtection="0"/>
    <xf numFmtId="0" fontId="17" fillId="30" borderId="0" applyNumberFormat="0" applyBorder="0" applyAlignment="0" applyProtection="0"/>
    <xf numFmtId="0" fontId="17" fillId="28" borderId="0" applyNumberFormat="0" applyBorder="0" applyAlignment="0" applyProtection="0"/>
    <xf numFmtId="0" fontId="123" fillId="47" borderId="0" applyNumberFormat="0" applyBorder="0" applyAlignment="0" applyProtection="0"/>
    <xf numFmtId="0" fontId="17" fillId="43" borderId="0" applyNumberFormat="0" applyBorder="0" applyAlignment="0" applyProtection="0"/>
    <xf numFmtId="0" fontId="123" fillId="48" borderId="0" applyNumberFormat="0" applyBorder="0" applyAlignment="0" applyProtection="0"/>
    <xf numFmtId="0" fontId="17" fillId="27" borderId="0" applyNumberFormat="0" applyBorder="0" applyAlignment="0" applyProtection="0"/>
    <xf numFmtId="0" fontId="123" fillId="33" borderId="0" applyNumberFormat="0" applyBorder="0" applyAlignment="0" applyProtection="0"/>
    <xf numFmtId="0" fontId="124" fillId="42" borderId="0" applyNumberFormat="0" applyBorder="0" applyAlignment="0" applyProtection="0">
      <alignment vertical="center"/>
    </xf>
    <xf numFmtId="0" fontId="124" fillId="22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43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5" borderId="0" applyNumberFormat="0" applyBorder="0" applyAlignment="0" applyProtection="0">
      <alignment vertical="center"/>
    </xf>
    <xf numFmtId="180" fontId="125" fillId="42" borderId="0" applyNumberFormat="0" applyBorder="0" applyAlignment="0" applyProtection="0">
      <alignment vertical="center"/>
    </xf>
    <xf numFmtId="180" fontId="125" fillId="22" borderId="0" applyNumberFormat="0" applyBorder="0" applyAlignment="0" applyProtection="0">
      <alignment vertical="center"/>
    </xf>
    <xf numFmtId="180" fontId="125" fillId="28" borderId="0" applyNumberFormat="0" applyBorder="0" applyAlignment="0" applyProtection="0">
      <alignment vertical="center"/>
    </xf>
    <xf numFmtId="180" fontId="125" fillId="43" borderId="0" applyNumberFormat="0" applyBorder="0" applyAlignment="0" applyProtection="0">
      <alignment vertical="center"/>
    </xf>
    <xf numFmtId="180" fontId="125" fillId="27" borderId="0" applyNumberFormat="0" applyBorder="0" applyAlignment="0" applyProtection="0">
      <alignment vertical="center"/>
    </xf>
    <xf numFmtId="180" fontId="125" fillId="25" borderId="0" applyNumberFormat="0" applyBorder="0" applyAlignment="0" applyProtection="0">
      <alignment vertical="center"/>
    </xf>
    <xf numFmtId="0" fontId="126" fillId="49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490" fillId="50" borderId="0" applyNumberFormat="0" applyBorder="0" applyAlignment="0" applyProtection="0">
      <alignment vertical="center"/>
    </xf>
    <xf numFmtId="0" fontId="127" fillId="50" borderId="0" applyNumberFormat="0" applyBorder="0" applyAlignment="0" applyProtection="0">
      <alignment vertical="center"/>
    </xf>
    <xf numFmtId="0" fontId="128" fillId="50" borderId="0" applyNumberFormat="0" applyBorder="0" applyAlignment="0" applyProtection="0">
      <alignment vertical="center"/>
    </xf>
    <xf numFmtId="0" fontId="129" fillId="51" borderId="0" applyNumberFormat="0" applyBorder="0" applyProtection="0">
      <alignment vertical="center"/>
    </xf>
    <xf numFmtId="180" fontId="60" fillId="52" borderId="0">
      <alignment vertical="center"/>
    </xf>
    <xf numFmtId="0" fontId="129" fillId="42" borderId="0" applyNumberFormat="0" applyBorder="0" applyAlignment="0" applyProtection="0">
      <alignment vertical="center"/>
    </xf>
    <xf numFmtId="0" fontId="130" fillId="50" borderId="0" applyNumberFormat="0" applyBorder="0" applyAlignment="0" applyProtection="0">
      <alignment vertical="center"/>
    </xf>
    <xf numFmtId="0" fontId="126" fillId="25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490" fillId="53" borderId="0" applyNumberFormat="0" applyBorder="0" applyAlignment="0" applyProtection="0">
      <alignment vertical="center"/>
    </xf>
    <xf numFmtId="0" fontId="127" fillId="53" borderId="0" applyNumberFormat="0" applyBorder="0" applyAlignment="0" applyProtection="0">
      <alignment vertical="center"/>
    </xf>
    <xf numFmtId="0" fontId="128" fillId="53" borderId="0" applyNumberFormat="0" applyBorder="0" applyAlignment="0" applyProtection="0">
      <alignment vertical="center"/>
    </xf>
    <xf numFmtId="0" fontId="129" fillId="45" borderId="0" applyNumberFormat="0" applyBorder="0" applyProtection="0">
      <alignment vertical="center"/>
    </xf>
    <xf numFmtId="180" fontId="60" fillId="54" borderId="0">
      <alignment vertical="center"/>
    </xf>
    <xf numFmtId="0" fontId="129" fillId="22" borderId="0" applyNumberFormat="0" applyBorder="0" applyAlignment="0" applyProtection="0">
      <alignment vertical="center"/>
    </xf>
    <xf numFmtId="0" fontId="130" fillId="53" borderId="0" applyNumberFormat="0" applyBorder="0" applyAlignment="0" applyProtection="0">
      <alignment vertical="center"/>
    </xf>
    <xf numFmtId="0" fontId="126" fillId="30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490" fillId="55" borderId="0" applyNumberFormat="0" applyBorder="0" applyAlignment="0" applyProtection="0">
      <alignment vertical="center"/>
    </xf>
    <xf numFmtId="0" fontId="127" fillId="55" borderId="0" applyNumberFormat="0" applyBorder="0" applyAlignment="0" applyProtection="0">
      <alignment vertical="center"/>
    </xf>
    <xf numFmtId="0" fontId="128" fillId="55" borderId="0" applyNumberFormat="0" applyBorder="0" applyAlignment="0" applyProtection="0">
      <alignment vertical="center"/>
    </xf>
    <xf numFmtId="0" fontId="129" fillId="46" borderId="0" applyNumberFormat="0" applyBorder="0" applyProtection="0">
      <alignment vertical="center"/>
    </xf>
    <xf numFmtId="180" fontId="60" fillId="56" borderId="0">
      <alignment vertical="center"/>
    </xf>
    <xf numFmtId="0" fontId="129" fillId="28" borderId="0" applyNumberFormat="0" applyBorder="0" applyAlignment="0" applyProtection="0">
      <alignment vertical="center"/>
    </xf>
    <xf numFmtId="0" fontId="130" fillId="55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490" fillId="57" borderId="0" applyNumberFormat="0" applyBorder="0" applyAlignment="0" applyProtection="0">
      <alignment vertical="center"/>
    </xf>
    <xf numFmtId="0" fontId="127" fillId="57" borderId="0" applyNumberFormat="0" applyBorder="0" applyAlignment="0" applyProtection="0">
      <alignment vertical="center"/>
    </xf>
    <xf numFmtId="0" fontId="128" fillId="57" borderId="0" applyNumberFormat="0" applyBorder="0" applyAlignment="0" applyProtection="0">
      <alignment vertical="center"/>
    </xf>
    <xf numFmtId="0" fontId="129" fillId="47" borderId="0" applyNumberFormat="0" applyBorder="0" applyProtection="0">
      <alignment vertical="center"/>
    </xf>
    <xf numFmtId="180" fontId="60" fillId="58" borderId="0">
      <alignment vertical="center"/>
    </xf>
    <xf numFmtId="0" fontId="129" fillId="43" borderId="0" applyNumberFormat="0" applyBorder="0" applyAlignment="0" applyProtection="0">
      <alignment vertical="center"/>
    </xf>
    <xf numFmtId="0" fontId="130" fillId="57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490" fillId="59" borderId="0" applyNumberFormat="0" applyBorder="0" applyAlignment="0" applyProtection="0">
      <alignment vertical="center"/>
    </xf>
    <xf numFmtId="0" fontId="127" fillId="59" borderId="0" applyNumberFormat="0" applyBorder="0" applyAlignment="0" applyProtection="0">
      <alignment vertical="center"/>
    </xf>
    <xf numFmtId="0" fontId="128" fillId="59" borderId="0" applyNumberFormat="0" applyBorder="0" applyAlignment="0" applyProtection="0">
      <alignment vertical="center"/>
    </xf>
    <xf numFmtId="0" fontId="129" fillId="60" borderId="0" applyNumberFormat="0" applyBorder="0" applyProtection="0">
      <alignment vertical="center"/>
    </xf>
    <xf numFmtId="180" fontId="60" fillId="61" borderId="0">
      <alignment vertical="center"/>
    </xf>
    <xf numFmtId="0" fontId="129" fillId="27" borderId="0" applyNumberFormat="0" applyBorder="0" applyAlignment="0" applyProtection="0">
      <alignment vertical="center"/>
    </xf>
    <xf numFmtId="0" fontId="130" fillId="59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490" fillId="62" borderId="0" applyNumberFormat="0" applyBorder="0" applyAlignment="0" applyProtection="0">
      <alignment vertical="center"/>
    </xf>
    <xf numFmtId="0" fontId="127" fillId="62" borderId="0" applyNumberFormat="0" applyBorder="0" applyAlignment="0" applyProtection="0">
      <alignment vertical="center"/>
    </xf>
    <xf numFmtId="0" fontId="128" fillId="62" borderId="0" applyNumberFormat="0" applyBorder="0" applyAlignment="0" applyProtection="0">
      <alignment vertical="center"/>
    </xf>
    <xf numFmtId="0" fontId="129" fillId="63" borderId="0" applyNumberFormat="0" applyBorder="0" applyProtection="0">
      <alignment vertical="center"/>
    </xf>
    <xf numFmtId="180" fontId="60" fillId="64" borderId="0">
      <alignment vertical="center"/>
    </xf>
    <xf numFmtId="0" fontId="129" fillId="25" borderId="0" applyNumberFormat="0" applyBorder="0" applyAlignment="0" applyProtection="0">
      <alignment vertical="center"/>
    </xf>
    <xf numFmtId="0" fontId="130" fillId="62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8" fillId="26" borderId="0" applyNumberFormat="0" applyBorder="0" applyAlignment="0" applyProtection="0">
      <alignment vertical="center"/>
    </xf>
    <xf numFmtId="0" fontId="98" fillId="42" borderId="0" applyNumberFormat="0" applyBorder="0" applyProtection="0">
      <alignment vertical="center"/>
    </xf>
    <xf numFmtId="0" fontId="98" fillId="65" borderId="0" applyNumberFormat="0" applyBorder="0" applyAlignment="0" applyProtection="0"/>
    <xf numFmtId="0" fontId="123" fillId="42" borderId="0" applyNumberFormat="0" applyBorder="0" applyAlignment="0" applyProtection="0">
      <alignment vertical="center"/>
    </xf>
    <xf numFmtId="0" fontId="98" fillId="22" borderId="0" applyNumberFormat="0" applyBorder="0" applyAlignment="0" applyProtection="0">
      <alignment vertical="center"/>
    </xf>
    <xf numFmtId="0" fontId="98" fillId="22" borderId="0" applyNumberFormat="0" applyBorder="0" applyProtection="0">
      <alignment vertical="center"/>
    </xf>
    <xf numFmtId="0" fontId="98" fillId="66" borderId="0" applyNumberFormat="0" applyBorder="0" applyAlignment="0" applyProtection="0"/>
    <xf numFmtId="0" fontId="123" fillId="22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28" borderId="0" applyNumberFormat="0" applyBorder="0" applyProtection="0">
      <alignment vertical="center"/>
    </xf>
    <xf numFmtId="0" fontId="98" fillId="46" borderId="0" applyNumberFormat="0" applyBorder="0" applyAlignment="0" applyProtection="0"/>
    <xf numFmtId="0" fontId="123" fillId="28" borderId="0" applyNumberFormat="0" applyBorder="0" applyAlignment="0" applyProtection="0">
      <alignment vertical="center"/>
    </xf>
    <xf numFmtId="0" fontId="98" fillId="30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3" borderId="0" applyNumberFormat="0" applyBorder="0" applyProtection="0">
      <alignment vertical="center"/>
    </xf>
    <xf numFmtId="0" fontId="98" fillId="47" borderId="0" applyNumberFormat="0" applyBorder="0" applyAlignment="0" applyProtection="0"/>
    <xf numFmtId="0" fontId="123" fillId="43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7" borderId="0" applyNumberFormat="0" applyBorder="0" applyProtection="0">
      <alignment vertical="center"/>
    </xf>
    <xf numFmtId="0" fontId="98" fillId="48" borderId="0" applyNumberFormat="0" applyBorder="0" applyAlignment="0" applyProtection="0"/>
    <xf numFmtId="0" fontId="123" fillId="27" borderId="0" applyNumberFormat="0" applyBorder="0" applyAlignment="0" applyProtection="0">
      <alignment vertical="center"/>
    </xf>
    <xf numFmtId="0" fontId="98" fillId="25" borderId="0" applyNumberFormat="0" applyBorder="0" applyAlignment="0" applyProtection="0">
      <alignment vertical="center"/>
    </xf>
    <xf numFmtId="0" fontId="98" fillId="25" borderId="0" applyNumberFormat="0" applyBorder="0" applyProtection="0">
      <alignment vertical="center"/>
    </xf>
    <xf numFmtId="0" fontId="98" fillId="67" borderId="0" applyNumberFormat="0" applyBorder="0" applyAlignment="0" applyProtection="0"/>
    <xf numFmtId="0" fontId="123" fillId="25" borderId="0" applyNumberFormat="0" applyBorder="0" applyAlignment="0" applyProtection="0">
      <alignment vertical="center"/>
    </xf>
    <xf numFmtId="0" fontId="123" fillId="29" borderId="0" applyNumberFormat="0" applyBorder="0" applyAlignment="0" applyProtection="0"/>
    <xf numFmtId="0" fontId="123" fillId="34" borderId="0" applyNumberFormat="0" applyBorder="0" applyAlignment="0" applyProtection="0"/>
    <xf numFmtId="0" fontId="123" fillId="68" borderId="0" applyNumberFormat="0" applyBorder="0" applyAlignment="0" applyProtection="0"/>
    <xf numFmtId="0" fontId="123" fillId="69" borderId="0" applyNumberFormat="0" applyBorder="0" applyAlignment="0" applyProtection="0"/>
    <xf numFmtId="0" fontId="17" fillId="2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68" borderId="0" applyNumberFormat="0" applyBorder="0" applyAlignment="0" applyProtection="0">
      <alignment vertical="center"/>
    </xf>
    <xf numFmtId="0" fontId="17" fillId="69" borderId="0" applyNumberFormat="0" applyBorder="0" applyAlignment="0" applyProtection="0">
      <alignment vertical="center"/>
    </xf>
    <xf numFmtId="0" fontId="17" fillId="29" borderId="0" applyNumberFormat="0" applyBorder="0" applyAlignment="0" applyProtection="0"/>
    <xf numFmtId="0" fontId="17" fillId="34" borderId="0" applyNumberFormat="0" applyBorder="0" applyAlignment="0" applyProtection="0"/>
    <xf numFmtId="0" fontId="17" fillId="23" borderId="0" applyNumberFormat="0" applyBorder="0" applyAlignment="0" applyProtection="0"/>
    <xf numFmtId="0" fontId="17" fillId="68" borderId="0" applyNumberFormat="0" applyBorder="0" applyAlignment="0" applyProtection="0"/>
    <xf numFmtId="0" fontId="123" fillId="29" borderId="0" applyNumberFormat="0" applyBorder="0" applyAlignment="0" applyProtection="0">
      <alignment vertical="center"/>
    </xf>
    <xf numFmtId="0" fontId="17" fillId="69" borderId="0" applyNumberFormat="0" applyBorder="0" applyAlignment="0" applyProtection="0"/>
    <xf numFmtId="180" fontId="123" fillId="69" borderId="0" applyNumberFormat="0" applyBorder="0" applyAlignment="0" applyProtection="0"/>
    <xf numFmtId="0" fontId="124" fillId="29" borderId="0" applyNumberFormat="0" applyBorder="0" applyAlignment="0" applyProtection="0">
      <alignment vertical="center"/>
    </xf>
    <xf numFmtId="0" fontId="124" fillId="34" borderId="0" applyNumberFormat="0" applyBorder="0" applyAlignment="0" applyProtection="0">
      <alignment vertical="center"/>
    </xf>
    <xf numFmtId="0" fontId="124" fillId="68" borderId="0" applyNumberFormat="0" applyBorder="0" applyAlignment="0" applyProtection="0">
      <alignment vertical="center"/>
    </xf>
    <xf numFmtId="0" fontId="124" fillId="69" borderId="0" applyNumberFormat="0" applyBorder="0" applyAlignment="0" applyProtection="0">
      <alignment vertical="center"/>
    </xf>
    <xf numFmtId="180" fontId="125" fillId="29" borderId="0" applyNumberFormat="0" applyBorder="0" applyAlignment="0" applyProtection="0">
      <alignment vertical="center"/>
    </xf>
    <xf numFmtId="180" fontId="125" fillId="34" borderId="0" applyNumberFormat="0" applyBorder="0" applyAlignment="0" applyProtection="0">
      <alignment vertical="center"/>
    </xf>
    <xf numFmtId="180" fontId="125" fillId="68" borderId="0" applyNumberFormat="0" applyBorder="0" applyAlignment="0" applyProtection="0">
      <alignment vertical="center"/>
    </xf>
    <xf numFmtId="180" fontId="125" fillId="69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490" fillId="10" borderId="0" applyNumberFormat="0" applyBorder="0" applyAlignment="0" applyProtection="0">
      <alignment vertical="center"/>
    </xf>
    <xf numFmtId="0" fontId="127" fillId="10" borderId="0" applyNumberFormat="0" applyBorder="0" applyAlignment="0" applyProtection="0">
      <alignment vertical="center"/>
    </xf>
    <xf numFmtId="0" fontId="128" fillId="10" borderId="0" applyNumberFormat="0" applyBorder="0" applyAlignment="0" applyProtection="0">
      <alignment vertical="center"/>
    </xf>
    <xf numFmtId="0" fontId="129" fillId="31" borderId="0" applyNumberFormat="0" applyBorder="0" applyProtection="0">
      <alignment vertical="center"/>
    </xf>
    <xf numFmtId="180" fontId="60" fillId="70" borderId="0">
      <alignment vertical="center"/>
    </xf>
    <xf numFmtId="0" fontId="129" fillId="29" borderId="0" applyNumberFormat="0" applyBorder="0" applyAlignment="0" applyProtection="0">
      <alignment vertical="center"/>
    </xf>
    <xf numFmtId="0" fontId="130" fillId="10" borderId="0" applyNumberFormat="0" applyBorder="0" applyAlignment="0" applyProtection="0">
      <alignment vertical="center"/>
    </xf>
    <xf numFmtId="180" fontId="490" fillId="10" borderId="0" applyNumberFormat="0" applyBorder="0" applyAlignment="0" applyProtection="0">
      <alignment vertical="center"/>
    </xf>
    <xf numFmtId="0" fontId="126" fillId="34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9" fillId="38" borderId="0" applyNumberFormat="0" applyBorder="0" applyProtection="0">
      <alignment vertical="center"/>
    </xf>
    <xf numFmtId="180" fontId="60" fillId="71" borderId="0">
      <alignment vertical="center"/>
    </xf>
    <xf numFmtId="0" fontId="129" fillId="34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490" fillId="14" borderId="0" applyNumberFormat="0" applyBorder="0" applyAlignment="0" applyProtection="0">
      <alignment vertical="center"/>
    </xf>
    <xf numFmtId="0" fontId="127" fillId="14" borderId="0" applyNumberFormat="0" applyBorder="0" applyAlignment="0" applyProtection="0">
      <alignment vertical="center"/>
    </xf>
    <xf numFmtId="0" fontId="128" fillId="14" borderId="0" applyNumberFormat="0" applyBorder="0" applyAlignment="0" applyProtection="0">
      <alignment vertical="center"/>
    </xf>
    <xf numFmtId="0" fontId="129" fillId="72" borderId="0" applyNumberFormat="0" applyBorder="0" applyProtection="0">
      <alignment vertical="center"/>
    </xf>
    <xf numFmtId="180" fontId="60" fillId="73" borderId="0">
      <alignment vertical="center"/>
    </xf>
    <xf numFmtId="0" fontId="129" fillId="68" borderId="0" applyNumberFormat="0" applyBorder="0" applyAlignment="0" applyProtection="0">
      <alignment vertical="center"/>
    </xf>
    <xf numFmtId="0" fontId="130" fillId="14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180" fontId="490" fillId="16" borderId="0" applyNumberFormat="0" applyBorder="0" applyAlignment="0" applyProtection="0">
      <alignment vertical="center"/>
    </xf>
    <xf numFmtId="0" fontId="126" fillId="29" borderId="0" applyNumberFormat="0" applyBorder="0" applyAlignment="0" applyProtection="0">
      <alignment vertical="center"/>
    </xf>
    <xf numFmtId="0" fontId="490" fillId="18" borderId="0" applyNumberFormat="0" applyBorder="0" applyAlignment="0" applyProtection="0">
      <alignment vertical="center"/>
    </xf>
    <xf numFmtId="0" fontId="127" fillId="18" borderId="0" applyNumberFormat="0" applyBorder="0" applyAlignment="0" applyProtection="0">
      <alignment vertical="center"/>
    </xf>
    <xf numFmtId="0" fontId="128" fillId="18" borderId="0" applyNumberFormat="0" applyBorder="0" applyAlignment="0" applyProtection="0">
      <alignment vertical="center"/>
    </xf>
    <xf numFmtId="0" fontId="130" fillId="18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9" fillId="74" borderId="0" applyNumberFormat="0" applyBorder="0" applyProtection="0">
      <alignment vertical="center"/>
    </xf>
    <xf numFmtId="180" fontId="60" fillId="75" borderId="0">
      <alignment vertical="center"/>
    </xf>
    <xf numFmtId="0" fontId="17" fillId="25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180" fontId="490" fillId="20" borderId="0" applyNumberFormat="0" applyBorder="0" applyAlignment="0" applyProtection="0">
      <alignment vertical="center"/>
    </xf>
    <xf numFmtId="0" fontId="98" fillId="29" borderId="0" applyNumberFormat="0" applyBorder="0" applyAlignment="0" applyProtection="0">
      <alignment vertical="center"/>
    </xf>
    <xf numFmtId="0" fontId="98" fillId="29" borderId="0" applyNumberFormat="0" applyBorder="0" applyProtection="0">
      <alignment vertical="center"/>
    </xf>
    <xf numFmtId="0" fontId="98" fillId="31" borderId="0" applyNumberFormat="0" applyBorder="0" applyAlignment="0" applyProtection="0"/>
    <xf numFmtId="0" fontId="98" fillId="24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4" borderId="0" applyNumberFormat="0" applyBorder="0" applyProtection="0">
      <alignment vertical="center"/>
    </xf>
    <xf numFmtId="0" fontId="98" fillId="76" borderId="0" applyNumberFormat="0" applyBorder="0" applyAlignment="0" applyProtection="0"/>
    <xf numFmtId="0" fontId="123" fillId="34" borderId="0" applyNumberFormat="0" applyBorder="0" applyAlignment="0" applyProtection="0">
      <alignment vertical="center"/>
    </xf>
    <xf numFmtId="0" fontId="98" fillId="68" borderId="0" applyNumberFormat="0" applyBorder="0" applyAlignment="0" applyProtection="0">
      <alignment vertical="center"/>
    </xf>
    <xf numFmtId="0" fontId="98" fillId="68" borderId="0" applyNumberFormat="0" applyBorder="0" applyProtection="0">
      <alignment vertical="center"/>
    </xf>
    <xf numFmtId="0" fontId="98" fillId="72" borderId="0" applyNumberFormat="0" applyBorder="0" applyAlignment="0" applyProtection="0"/>
    <xf numFmtId="0" fontId="123" fillId="68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490" fillId="18" borderId="0" applyNumberFormat="0" applyBorder="0" applyAlignment="0" applyProtection="0"/>
    <xf numFmtId="0" fontId="98" fillId="69" borderId="0" applyNumberFormat="0" applyBorder="0" applyAlignment="0" applyProtection="0">
      <alignment vertical="center"/>
    </xf>
    <xf numFmtId="0" fontId="98" fillId="69" borderId="0" applyNumberFormat="0" applyBorder="0" applyProtection="0">
      <alignment vertical="center"/>
    </xf>
    <xf numFmtId="0" fontId="98" fillId="74" borderId="0" applyNumberFormat="0" applyBorder="0" applyAlignment="0" applyProtection="0"/>
    <xf numFmtId="0" fontId="123" fillId="69" borderId="0" applyNumberFormat="0" applyBorder="0" applyAlignment="0" applyProtection="0">
      <alignment vertical="center"/>
    </xf>
    <xf numFmtId="0" fontId="490" fillId="20" borderId="0" applyNumberFormat="0" applyBorder="0" applyAlignment="0" applyProtection="0"/>
    <xf numFmtId="0" fontId="131" fillId="0" borderId="17">
      <alignment horizontal="center"/>
    </xf>
    <xf numFmtId="0" fontId="132" fillId="0" borderId="0"/>
    <xf numFmtId="0" fontId="133" fillId="77" borderId="0" applyNumberFormat="0" applyBorder="0" applyAlignment="0" applyProtection="0"/>
    <xf numFmtId="0" fontId="133" fillId="34" borderId="0" applyNumberFormat="0" applyBorder="0" applyAlignment="0" applyProtection="0"/>
    <xf numFmtId="0" fontId="133" fillId="68" borderId="0" applyNumberFormat="0" applyBorder="0" applyAlignment="0" applyProtection="0"/>
    <xf numFmtId="0" fontId="133" fillId="78" borderId="0" applyNumberFormat="0" applyBorder="0" applyAlignment="0" applyProtection="0"/>
    <xf numFmtId="0" fontId="133" fillId="79" borderId="0" applyNumberFormat="0" applyBorder="0" applyAlignment="0" applyProtection="0"/>
    <xf numFmtId="0" fontId="133" fillId="80" borderId="0" applyNumberFormat="0" applyBorder="0" applyAlignment="0" applyProtection="0"/>
    <xf numFmtId="0" fontId="134" fillId="77" borderId="0" applyNumberFormat="0" applyBorder="0" applyAlignment="0" applyProtection="0">
      <alignment vertical="center"/>
    </xf>
    <xf numFmtId="0" fontId="134" fillId="34" borderId="0" applyNumberFormat="0" applyBorder="0" applyAlignment="0" applyProtection="0">
      <alignment vertical="center"/>
    </xf>
    <xf numFmtId="0" fontId="134" fillId="68" borderId="0" applyNumberFormat="0" applyBorder="0" applyAlignment="0" applyProtection="0">
      <alignment vertical="center"/>
    </xf>
    <xf numFmtId="0" fontId="134" fillId="78" borderId="0" applyNumberFormat="0" applyBorder="0" applyAlignment="0" applyProtection="0">
      <alignment vertical="center"/>
    </xf>
    <xf numFmtId="0" fontId="134" fillId="79" borderId="0" applyNumberFormat="0" applyBorder="0" applyAlignment="0" applyProtection="0">
      <alignment vertical="center"/>
    </xf>
    <xf numFmtId="0" fontId="134" fillId="80" borderId="0" applyNumberFormat="0" applyBorder="0" applyAlignment="0" applyProtection="0">
      <alignment vertical="center"/>
    </xf>
    <xf numFmtId="0" fontId="135" fillId="79" borderId="0" applyNumberFormat="0" applyBorder="0" applyAlignment="0" applyProtection="0"/>
    <xf numFmtId="0" fontId="136" fillId="77" borderId="0" applyNumberFormat="0" applyBorder="0" applyAlignment="0" applyProtection="0"/>
    <xf numFmtId="180" fontId="135" fillId="81" borderId="0">
      <alignment vertical="center"/>
    </xf>
    <xf numFmtId="0" fontId="135" fillId="34" borderId="0" applyNumberFormat="0" applyBorder="0" applyAlignment="0" applyProtection="0"/>
    <xf numFmtId="0" fontId="136" fillId="34" borderId="0" applyNumberFormat="0" applyBorder="0" applyAlignment="0" applyProtection="0"/>
    <xf numFmtId="180" fontId="135" fillId="71" borderId="0">
      <alignment vertical="center"/>
    </xf>
    <xf numFmtId="0" fontId="135" fillId="23" borderId="0" applyNumberFormat="0" applyBorder="0" applyAlignment="0" applyProtection="0"/>
    <xf numFmtId="0" fontId="136" fillId="68" borderId="0" applyNumberFormat="0" applyBorder="0" applyAlignment="0" applyProtection="0"/>
    <xf numFmtId="180" fontId="135" fillId="82" borderId="0">
      <alignment vertical="center"/>
    </xf>
    <xf numFmtId="0" fontId="135" fillId="24" borderId="0" applyNumberFormat="0" applyBorder="0" applyAlignment="0" applyProtection="0"/>
    <xf numFmtId="0" fontId="136" fillId="78" borderId="0" applyNumberFormat="0" applyBorder="0" applyAlignment="0" applyProtection="0"/>
    <xf numFmtId="180" fontId="135" fillId="83" borderId="0">
      <alignment vertical="center"/>
    </xf>
    <xf numFmtId="0" fontId="136" fillId="79" borderId="0" applyNumberFormat="0" applyBorder="0" applyAlignment="0" applyProtection="0"/>
    <xf numFmtId="0" fontId="136" fillId="80" borderId="0" applyNumberFormat="0" applyBorder="0" applyAlignment="0" applyProtection="0"/>
    <xf numFmtId="0" fontId="135" fillId="25" borderId="0" applyNumberFormat="0" applyBorder="0" applyAlignment="0" applyProtection="0"/>
    <xf numFmtId="180" fontId="135" fillId="25" borderId="0" applyNumberFormat="0" applyBorder="0" applyAlignment="0" applyProtection="0"/>
    <xf numFmtId="180" fontId="133" fillId="80" borderId="0" applyNumberFormat="0" applyBorder="0" applyAlignment="0" applyProtection="0"/>
    <xf numFmtId="180" fontId="135" fillId="64" borderId="0">
      <alignment vertical="center"/>
    </xf>
    <xf numFmtId="0" fontId="137" fillId="77" borderId="0" applyNumberFormat="0" applyBorder="0" applyAlignment="0" applyProtection="0">
      <alignment vertical="center"/>
    </xf>
    <xf numFmtId="0" fontId="137" fillId="34" borderId="0" applyNumberFormat="0" applyBorder="0" applyAlignment="0" applyProtection="0">
      <alignment vertical="center"/>
    </xf>
    <xf numFmtId="0" fontId="137" fillId="68" borderId="0" applyNumberFormat="0" applyBorder="0" applyAlignment="0" applyProtection="0">
      <alignment vertical="center"/>
    </xf>
    <xf numFmtId="0" fontId="137" fillId="78" borderId="0" applyNumberFormat="0" applyBorder="0" applyAlignment="0" applyProtection="0">
      <alignment vertical="center"/>
    </xf>
    <xf numFmtId="0" fontId="137" fillId="79" borderId="0" applyNumberFormat="0" applyBorder="0" applyAlignment="0" applyProtection="0">
      <alignment vertical="center"/>
    </xf>
    <xf numFmtId="0" fontId="137" fillId="80" borderId="0" applyNumberFormat="0" applyBorder="0" applyAlignment="0" applyProtection="0">
      <alignment vertical="center"/>
    </xf>
    <xf numFmtId="180" fontId="138" fillId="77" borderId="0" applyNumberFormat="0" applyBorder="0" applyAlignment="0" applyProtection="0">
      <alignment vertical="center"/>
    </xf>
    <xf numFmtId="180" fontId="138" fillId="34" borderId="0" applyNumberFormat="0" applyBorder="0" applyAlignment="0" applyProtection="0">
      <alignment vertical="center"/>
    </xf>
    <xf numFmtId="180" fontId="138" fillId="68" borderId="0" applyNumberFormat="0" applyBorder="0" applyAlignment="0" applyProtection="0">
      <alignment vertical="center"/>
    </xf>
    <xf numFmtId="180" fontId="138" fillId="78" borderId="0" applyNumberFormat="0" applyBorder="0" applyAlignment="0" applyProtection="0">
      <alignment vertical="center"/>
    </xf>
    <xf numFmtId="180" fontId="138" fillId="79" borderId="0" applyNumberFormat="0" applyBorder="0" applyAlignment="0" applyProtection="0">
      <alignment vertical="center"/>
    </xf>
    <xf numFmtId="180" fontId="138" fillId="80" borderId="0" applyNumberFormat="0" applyBorder="0" applyAlignment="0" applyProtection="0">
      <alignment vertical="center"/>
    </xf>
    <xf numFmtId="0" fontId="80" fillId="79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139" fillId="84" borderId="0" applyNumberFormat="0" applyBorder="0" applyAlignment="0" applyProtection="0">
      <alignment vertical="center"/>
    </xf>
    <xf numFmtId="0" fontId="140" fillId="84" borderId="0" applyNumberFormat="0" applyBorder="0" applyAlignment="0" applyProtection="0">
      <alignment vertical="center"/>
    </xf>
    <xf numFmtId="0" fontId="141" fillId="32" borderId="0" applyNumberFormat="0" applyBorder="0" applyProtection="0">
      <alignment vertical="center"/>
    </xf>
    <xf numFmtId="0" fontId="54" fillId="77" borderId="0" applyNumberFormat="0" applyBorder="0" applyAlignment="0" applyProtection="0">
      <alignment vertical="center"/>
    </xf>
    <xf numFmtId="0" fontId="141" fillId="77" borderId="0" applyNumberFormat="0" applyBorder="0" applyAlignment="0" applyProtection="0">
      <alignment vertical="center"/>
    </xf>
    <xf numFmtId="0" fontId="142" fillId="8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139" fillId="86" borderId="0" applyNumberFormat="0" applyBorder="0" applyAlignment="0" applyProtection="0">
      <alignment vertical="center"/>
    </xf>
    <xf numFmtId="0" fontId="140" fillId="86" borderId="0" applyNumberFormat="0" applyBorder="0" applyAlignment="0" applyProtection="0">
      <alignment vertical="center"/>
    </xf>
    <xf numFmtId="0" fontId="141" fillId="38" borderId="0" applyNumberFormat="0" applyBorder="0" applyProtection="0">
      <alignment vertical="center"/>
    </xf>
    <xf numFmtId="0" fontId="141" fillId="34" borderId="0" applyNumberFormat="0" applyBorder="0" applyAlignment="0" applyProtection="0">
      <alignment vertical="center"/>
    </xf>
    <xf numFmtId="180" fontId="139" fillId="86" borderId="0" applyNumberFormat="0" applyBorder="0" applyAlignment="0" applyProtection="0">
      <alignment vertical="center"/>
    </xf>
    <xf numFmtId="0" fontId="142" fillId="86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139" fillId="87" borderId="0" applyNumberFormat="0" applyBorder="0" applyAlignment="0" applyProtection="0">
      <alignment vertical="center"/>
    </xf>
    <xf numFmtId="0" fontId="140" fillId="87" borderId="0" applyNumberFormat="0" applyBorder="0" applyAlignment="0" applyProtection="0">
      <alignment vertical="center"/>
    </xf>
    <xf numFmtId="0" fontId="141" fillId="72" borderId="0" applyNumberFormat="0" applyBorder="0" applyProtection="0">
      <alignment vertical="center"/>
    </xf>
    <xf numFmtId="0" fontId="54" fillId="68" borderId="0" applyNumberFormat="0" applyBorder="0" applyAlignment="0" applyProtection="0">
      <alignment vertical="center"/>
    </xf>
    <xf numFmtId="0" fontId="141" fillId="68" borderId="0" applyNumberFormat="0" applyBorder="0" applyAlignment="0" applyProtection="0">
      <alignment vertical="center"/>
    </xf>
    <xf numFmtId="180" fontId="139" fillId="87" borderId="0" applyNumberFormat="0" applyBorder="0" applyAlignment="0" applyProtection="0">
      <alignment vertical="center"/>
    </xf>
    <xf numFmtId="0" fontId="142" fillId="87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78" borderId="0" applyNumberFormat="0" applyBorder="0" applyAlignment="0" applyProtection="0">
      <alignment vertical="center"/>
    </xf>
    <xf numFmtId="0" fontId="139" fillId="88" borderId="0" applyNumberFormat="0" applyBorder="0" applyAlignment="0" applyProtection="0">
      <alignment vertical="center"/>
    </xf>
    <xf numFmtId="0" fontId="140" fillId="88" borderId="0" applyNumberFormat="0" applyBorder="0" applyAlignment="0" applyProtection="0">
      <alignment vertical="center"/>
    </xf>
    <xf numFmtId="0" fontId="141" fillId="89" borderId="0" applyNumberFormat="0" applyBorder="0" applyProtection="0">
      <alignment vertical="center"/>
    </xf>
    <xf numFmtId="0" fontId="54" fillId="78" borderId="0" applyNumberFormat="0" applyBorder="0" applyAlignment="0" applyProtection="0">
      <alignment vertical="center"/>
    </xf>
    <xf numFmtId="0" fontId="141" fillId="78" borderId="0" applyNumberFormat="0" applyBorder="0" applyAlignment="0" applyProtection="0">
      <alignment vertical="center"/>
    </xf>
    <xf numFmtId="180" fontId="139" fillId="88" borderId="0" applyNumberFormat="0" applyBorder="0" applyAlignment="0" applyProtection="0">
      <alignment vertical="center"/>
    </xf>
    <xf numFmtId="0" fontId="142" fillId="88" borderId="0" applyNumberFormat="0" applyBorder="0" applyAlignment="0" applyProtection="0">
      <alignment vertical="center"/>
    </xf>
    <xf numFmtId="0" fontId="139" fillId="90" borderId="0" applyNumberFormat="0" applyBorder="0" applyAlignment="0" applyProtection="0">
      <alignment vertical="center"/>
    </xf>
    <xf numFmtId="0" fontId="140" fillId="90" borderId="0" applyNumberFormat="0" applyBorder="0" applyAlignment="0" applyProtection="0">
      <alignment vertical="center"/>
    </xf>
    <xf numFmtId="0" fontId="141" fillId="91" borderId="0" applyNumberFormat="0" applyBorder="0" applyProtection="0">
      <alignment vertical="center"/>
    </xf>
    <xf numFmtId="0" fontId="54" fillId="79" borderId="0" applyNumberFormat="0" applyBorder="0" applyAlignment="0" applyProtection="0">
      <alignment vertical="center"/>
    </xf>
    <xf numFmtId="0" fontId="141" fillId="79" borderId="0" applyNumberFormat="0" applyBorder="0" applyAlignment="0" applyProtection="0">
      <alignment vertical="center"/>
    </xf>
    <xf numFmtId="180" fontId="139" fillId="90" borderId="0" applyNumberFormat="0" applyBorder="0" applyAlignment="0" applyProtection="0">
      <alignment vertical="center"/>
    </xf>
    <xf numFmtId="0" fontId="142" fillId="90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80" borderId="0" applyNumberFormat="0" applyBorder="0" applyAlignment="0" applyProtection="0">
      <alignment vertical="center"/>
    </xf>
    <xf numFmtId="0" fontId="139" fillId="92" borderId="0" applyNumberFormat="0" applyBorder="0" applyAlignment="0" applyProtection="0">
      <alignment vertical="center"/>
    </xf>
    <xf numFmtId="0" fontId="140" fillId="92" borderId="0" applyNumberFormat="0" applyBorder="0" applyAlignment="0" applyProtection="0">
      <alignment vertical="center"/>
    </xf>
    <xf numFmtId="0" fontId="141" fillId="93" borderId="0" applyNumberFormat="0" applyBorder="0" applyProtection="0">
      <alignment vertical="center"/>
    </xf>
    <xf numFmtId="0" fontId="54" fillId="80" borderId="0" applyNumberFormat="0" applyBorder="0" applyAlignment="0" applyProtection="0">
      <alignment vertical="center"/>
    </xf>
    <xf numFmtId="0" fontId="141" fillId="80" borderId="0" applyNumberFormat="0" applyBorder="0" applyAlignment="0" applyProtection="0">
      <alignment vertical="center"/>
    </xf>
    <xf numFmtId="180" fontId="139" fillId="92" borderId="0" applyNumberFormat="0" applyBorder="0" applyAlignment="0" applyProtection="0">
      <alignment vertical="center"/>
    </xf>
    <xf numFmtId="0" fontId="142" fillId="92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32" borderId="0" applyNumberFormat="0" applyBorder="0" applyAlignment="0" applyProtection="0"/>
    <xf numFmtId="0" fontId="133" fillId="77" borderId="0" applyNumberFormat="0" applyBorder="0" applyAlignment="0" applyProtection="0">
      <alignment vertical="center"/>
    </xf>
    <xf numFmtId="180" fontId="143" fillId="77" borderId="0" applyNumberFormat="0" applyBorder="0" applyAlignment="0" applyProtection="0">
      <alignment vertical="center"/>
    </xf>
    <xf numFmtId="0" fontId="143" fillId="77" borderId="0" applyNumberFormat="0" applyBorder="0" applyProtection="0">
      <alignment vertical="center"/>
    </xf>
    <xf numFmtId="180" fontId="143" fillId="77" borderId="0" applyNumberFormat="0" applyBorder="0" applyAlignment="0" applyProtection="0"/>
    <xf numFmtId="0" fontId="96" fillId="79" borderId="0" applyNumberFormat="0" applyBorder="0" applyAlignment="0" applyProtection="0">
      <alignment vertical="center"/>
    </xf>
    <xf numFmtId="0" fontId="143" fillId="34" borderId="0" applyNumberFormat="0" applyBorder="0" applyAlignment="0" applyProtection="0">
      <alignment vertical="center"/>
    </xf>
    <xf numFmtId="0" fontId="143" fillId="76" borderId="0" applyNumberFormat="0" applyBorder="0" applyAlignment="0" applyProtection="0"/>
    <xf numFmtId="0" fontId="133" fillId="34" borderId="0" applyNumberFormat="0" applyBorder="0" applyAlignment="0" applyProtection="0">
      <alignment vertical="center"/>
    </xf>
    <xf numFmtId="180" fontId="143" fillId="34" borderId="0" applyNumberFormat="0" applyBorder="0" applyAlignment="0" applyProtection="0">
      <alignment vertical="center"/>
    </xf>
    <xf numFmtId="0" fontId="143" fillId="34" borderId="0" applyNumberFormat="0" applyBorder="0" applyProtection="0">
      <alignment vertical="center"/>
    </xf>
    <xf numFmtId="180" fontId="143" fillId="34" borderId="0" applyNumberFormat="0" applyBorder="0" applyAlignment="0" applyProtection="0"/>
    <xf numFmtId="0" fontId="96" fillId="34" borderId="0" applyNumberFormat="0" applyBorder="0" applyAlignment="0" applyProtection="0">
      <alignment vertical="center"/>
    </xf>
    <xf numFmtId="0" fontId="143" fillId="68" borderId="0" applyNumberFormat="0" applyBorder="0" applyAlignment="0" applyProtection="0">
      <alignment vertical="center"/>
    </xf>
    <xf numFmtId="0" fontId="143" fillId="72" borderId="0" applyNumberFormat="0" applyBorder="0" applyAlignment="0" applyProtection="0"/>
    <xf numFmtId="0" fontId="133" fillId="68" borderId="0" applyNumberFormat="0" applyBorder="0" applyAlignment="0" applyProtection="0">
      <alignment vertical="center"/>
    </xf>
    <xf numFmtId="180" fontId="143" fillId="68" borderId="0" applyNumberFormat="0" applyBorder="0" applyAlignment="0" applyProtection="0">
      <alignment vertical="center"/>
    </xf>
    <xf numFmtId="0" fontId="143" fillId="68" borderId="0" applyNumberFormat="0" applyBorder="0" applyProtection="0">
      <alignment vertical="center"/>
    </xf>
    <xf numFmtId="180" fontId="143" fillId="68" borderId="0" applyNumberFormat="0" applyBorder="0" applyAlignment="0" applyProtection="0"/>
    <xf numFmtId="0" fontId="96" fillId="23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89" borderId="0" applyNumberFormat="0" applyBorder="0" applyAlignment="0" applyProtection="0"/>
    <xf numFmtId="0" fontId="133" fillId="78" borderId="0" applyNumberFormat="0" applyBorder="0" applyAlignment="0" applyProtection="0">
      <alignment vertical="center"/>
    </xf>
    <xf numFmtId="180" fontId="143" fillId="78" borderId="0" applyNumberFormat="0" applyBorder="0" applyAlignment="0" applyProtection="0">
      <alignment vertical="center"/>
    </xf>
    <xf numFmtId="0" fontId="143" fillId="95" borderId="0" applyNumberFormat="0" applyBorder="0" applyProtection="0">
      <alignment vertical="center"/>
    </xf>
    <xf numFmtId="180" fontId="143" fillId="78" borderId="0" applyNumberFormat="0" applyBorder="0" applyAlignment="0" applyProtection="0"/>
    <xf numFmtId="0" fontId="96" fillId="24" borderId="0" applyNumberFormat="0" applyBorder="0" applyAlignment="0" applyProtection="0">
      <alignment vertical="center"/>
    </xf>
    <xf numFmtId="0" fontId="143" fillId="79" borderId="0" applyNumberFormat="0" applyBorder="0" applyAlignment="0" applyProtection="0">
      <alignment vertical="center"/>
    </xf>
    <xf numFmtId="0" fontId="143" fillId="91" borderId="0" applyNumberFormat="0" applyBorder="0" applyAlignment="0" applyProtection="0"/>
    <xf numFmtId="0" fontId="133" fillId="79" borderId="0" applyNumberFormat="0" applyBorder="0" applyAlignment="0" applyProtection="0">
      <alignment vertical="center"/>
    </xf>
    <xf numFmtId="180" fontId="143" fillId="79" borderId="0" applyNumberFormat="0" applyBorder="0" applyAlignment="0" applyProtection="0">
      <alignment vertical="center"/>
    </xf>
    <xf numFmtId="0" fontId="143" fillId="79" borderId="0" applyNumberFormat="0" applyBorder="0" applyProtection="0">
      <alignment vertical="center"/>
    </xf>
    <xf numFmtId="180" fontId="143" fillId="79" borderId="0" applyNumberFormat="0" applyBorder="0" applyAlignment="0" applyProtection="0"/>
    <xf numFmtId="0" fontId="143" fillId="80" borderId="0" applyNumberFormat="0" applyBorder="0" applyAlignment="0" applyProtection="0">
      <alignment vertical="center"/>
    </xf>
    <xf numFmtId="0" fontId="143" fillId="93" borderId="0" applyNumberFormat="0" applyBorder="0" applyAlignment="0" applyProtection="0"/>
    <xf numFmtId="0" fontId="133" fillId="80" borderId="0" applyNumberFormat="0" applyBorder="0" applyAlignment="0" applyProtection="0">
      <alignment vertical="center"/>
    </xf>
    <xf numFmtId="180" fontId="143" fillId="80" borderId="0" applyNumberFormat="0" applyBorder="0" applyAlignment="0" applyProtection="0">
      <alignment vertical="center"/>
    </xf>
    <xf numFmtId="0" fontId="143" fillId="80" borderId="0" applyNumberFormat="0" applyBorder="0" applyProtection="0">
      <alignment vertical="center"/>
    </xf>
    <xf numFmtId="180" fontId="143" fillId="80" borderId="0" applyNumberFormat="0" applyBorder="0" applyAlignment="0" applyProtection="0"/>
    <xf numFmtId="0" fontId="96" fillId="25" borderId="0" applyNumberFormat="0" applyBorder="0" applyAlignment="0" applyProtection="0">
      <alignment vertical="center"/>
    </xf>
    <xf numFmtId="0" fontId="490" fillId="96" borderId="0" applyNumberFormat="0" applyBorder="0" applyAlignment="0" applyProtection="0">
      <alignment vertical="center"/>
    </xf>
    <xf numFmtId="0" fontId="139" fillId="96" borderId="0" applyNumberFormat="0" applyBorder="0" applyAlignment="0" applyProtection="0">
      <alignment vertical="center"/>
    </xf>
    <xf numFmtId="0" fontId="490" fillId="97" borderId="0" applyNumberFormat="0" applyBorder="0" applyAlignment="0" applyProtection="0">
      <alignment vertical="center"/>
    </xf>
    <xf numFmtId="0" fontId="139" fillId="97" borderId="0" applyNumberFormat="0" applyBorder="0" applyAlignment="0" applyProtection="0">
      <alignment vertical="center"/>
    </xf>
    <xf numFmtId="0" fontId="490" fillId="98" borderId="0" applyNumberFormat="0" applyBorder="0" applyAlignment="0" applyProtection="0">
      <alignment vertical="center"/>
    </xf>
    <xf numFmtId="0" fontId="139" fillId="98" borderId="0" applyNumberFormat="0" applyBorder="0" applyAlignment="0" applyProtection="0">
      <alignment vertical="center"/>
    </xf>
    <xf numFmtId="0" fontId="490" fillId="99" borderId="0" applyNumberFormat="0" applyBorder="0" applyAlignment="0" applyProtection="0">
      <alignment vertical="center"/>
    </xf>
    <xf numFmtId="0" fontId="139" fillId="99" borderId="0" applyNumberFormat="0" applyBorder="0" applyAlignment="0" applyProtection="0">
      <alignment vertical="center"/>
    </xf>
    <xf numFmtId="0" fontId="490" fillId="100" borderId="0" applyNumberFormat="0" applyBorder="0" applyAlignment="0" applyProtection="0">
      <alignment vertical="center"/>
    </xf>
    <xf numFmtId="0" fontId="139" fillId="100" borderId="0" applyNumberFormat="0" applyBorder="0" applyAlignment="0" applyProtection="0">
      <alignment vertical="center"/>
    </xf>
    <xf numFmtId="0" fontId="490" fillId="101" borderId="0" applyNumberFormat="0" applyBorder="0" applyAlignment="0" applyProtection="0">
      <alignment vertical="center"/>
    </xf>
    <xf numFmtId="0" fontId="139" fillId="101" borderId="0" applyNumberFormat="0" applyBorder="0" applyAlignment="0" applyProtection="0">
      <alignment vertical="center"/>
    </xf>
    <xf numFmtId="180" fontId="85" fillId="0" borderId="0" applyProtection="0"/>
    <xf numFmtId="252" fontId="144" fillId="28" borderId="18" applyBorder="0"/>
    <xf numFmtId="0" fontId="145" fillId="0" borderId="0">
      <alignment horizontal="center"/>
    </xf>
    <xf numFmtId="0" fontId="18" fillId="0" borderId="0" applyBorder="0"/>
    <xf numFmtId="0" fontId="146" fillId="0" borderId="0" applyFont="0" applyFill="0" applyBorder="0" applyAlignment="0" applyProtection="0"/>
    <xf numFmtId="253" fontId="88" fillId="24" borderId="0" applyFont="0" applyBorder="0"/>
    <xf numFmtId="0" fontId="147" fillId="102" borderId="0"/>
    <xf numFmtId="253" fontId="88" fillId="34" borderId="0" applyNumberFormat="0" applyFont="0" applyBorder="0" applyAlignment="0" applyProtection="0"/>
    <xf numFmtId="253" fontId="91" fillId="28" borderId="0" applyNumberFormat="0" applyFont="0" applyBorder="0" applyAlignment="0" applyProtection="0"/>
    <xf numFmtId="253" fontId="89" fillId="42" borderId="0" applyBorder="0"/>
    <xf numFmtId="253" fontId="16" fillId="0" borderId="19" applyNumberFormat="0" applyBorder="0" applyAlignment="0" applyProtection="0"/>
    <xf numFmtId="254" fontId="148" fillId="0" borderId="0" applyBorder="0">
      <alignment horizontal="right"/>
    </xf>
    <xf numFmtId="254" fontId="16" fillId="0" borderId="0" applyBorder="0">
      <alignment horizontal="right"/>
    </xf>
    <xf numFmtId="254" fontId="89" fillId="0" borderId="19" applyBorder="0">
      <alignment horizontal="right"/>
    </xf>
    <xf numFmtId="186" fontId="149" fillId="0" borderId="0" applyBorder="0">
      <alignment horizontal="right"/>
    </xf>
    <xf numFmtId="186" fontId="150" fillId="0" borderId="19" applyBorder="0">
      <alignment horizontal="right"/>
    </xf>
    <xf numFmtId="186" fontId="16" fillId="0" borderId="19" applyBorder="0">
      <alignment horizontal="right"/>
    </xf>
    <xf numFmtId="186" fontId="16" fillId="0" borderId="0" applyBorder="0">
      <alignment horizontal="right"/>
    </xf>
    <xf numFmtId="253" fontId="151" fillId="0" borderId="0">
      <alignment horizontal="left" indent="1"/>
    </xf>
    <xf numFmtId="253" fontId="16" fillId="0" borderId="0">
      <alignment horizontal="left" indent="1"/>
    </xf>
    <xf numFmtId="253" fontId="152" fillId="0" borderId="20" applyBorder="0"/>
    <xf numFmtId="253" fontId="88" fillId="23" borderId="19" applyNumberFormat="0" applyFont="0" applyBorder="0" applyAlignment="0" applyProtection="0"/>
    <xf numFmtId="254" fontId="153" fillId="69" borderId="20" applyBorder="0">
      <alignment horizontal="right"/>
    </xf>
    <xf numFmtId="254" fontId="153" fillId="0" borderId="20" applyBorder="0">
      <alignment horizontal="right"/>
    </xf>
    <xf numFmtId="253" fontId="154" fillId="0" borderId="19" applyNumberFormat="0" applyBorder="0" applyAlignment="0" applyProtection="0"/>
    <xf numFmtId="0" fontId="153" fillId="24" borderId="21" applyBorder="0">
      <alignment horizontal="center"/>
    </xf>
    <xf numFmtId="0" fontId="155" fillId="0" borderId="0" applyFont="0" applyFill="0" applyBorder="0" applyAlignment="0" applyProtection="0"/>
    <xf numFmtId="0" fontId="156" fillId="0" borderId="0">
      <alignment horizontal="center" vertical="center"/>
    </xf>
    <xf numFmtId="0" fontId="123" fillId="52" borderId="0" applyNumberFormat="0" applyBorder="0" applyAlignment="0" applyProtection="0">
      <alignment vertical="center"/>
    </xf>
    <xf numFmtId="0" fontId="123" fillId="52" borderId="0" applyNumberFormat="0" applyBorder="0" applyAlignment="0" applyProtection="0"/>
    <xf numFmtId="0" fontId="123" fillId="70" borderId="0" applyNumberFormat="0" applyBorder="0" applyAlignment="0" applyProtection="0">
      <alignment vertical="center"/>
    </xf>
    <xf numFmtId="0" fontId="123" fillId="70" borderId="0" applyNumberFormat="0" applyBorder="0" applyAlignment="0" applyProtection="0"/>
    <xf numFmtId="0" fontId="133" fillId="85" borderId="0" applyNumberFormat="0" applyBorder="0" applyAlignment="0" applyProtection="0">
      <alignment vertical="center"/>
    </xf>
    <xf numFmtId="0" fontId="133" fillId="85" borderId="0" applyNumberFormat="0" applyBorder="0" applyAlignment="0" applyProtection="0"/>
    <xf numFmtId="0" fontId="80" fillId="103" borderId="0" applyNumberFormat="0" applyBorder="0" applyAlignment="0" applyProtection="0"/>
    <xf numFmtId="0" fontId="136" fillId="104" borderId="0" applyNumberFormat="0" applyBorder="0" applyAlignment="0" applyProtection="0"/>
    <xf numFmtId="0" fontId="133" fillId="104" borderId="0" applyNumberFormat="0" applyBorder="0" applyAlignment="0" applyProtection="0"/>
    <xf numFmtId="0" fontId="157" fillId="104" borderId="0" applyNumberFormat="0" applyBorder="0" applyAlignment="0" applyProtection="0"/>
    <xf numFmtId="0" fontId="123" fillId="54" borderId="0" applyNumberFormat="0" applyBorder="0" applyAlignment="0" applyProtection="0">
      <alignment vertical="center"/>
    </xf>
    <xf numFmtId="0" fontId="123" fillId="54" borderId="0" applyNumberFormat="0" applyBorder="0" applyAlignment="0" applyProtection="0"/>
    <xf numFmtId="0" fontId="123" fillId="71" borderId="0" applyNumberFormat="0" applyBorder="0" applyAlignment="0" applyProtection="0">
      <alignment vertical="center"/>
    </xf>
    <xf numFmtId="0" fontId="123" fillId="71" borderId="0" applyNumberFormat="0" applyBorder="0" applyAlignment="0" applyProtection="0"/>
    <xf numFmtId="0" fontId="133" fillId="71" borderId="0" applyNumberFormat="0" applyBorder="0" applyAlignment="0" applyProtection="0">
      <alignment vertical="center"/>
    </xf>
    <xf numFmtId="0" fontId="133" fillId="71" borderId="0" applyNumberFormat="0" applyBorder="0" applyAlignment="0" applyProtection="0"/>
    <xf numFmtId="0" fontId="80" fillId="105" borderId="0" applyNumberFormat="0" applyBorder="0" applyAlignment="0" applyProtection="0"/>
    <xf numFmtId="0" fontId="136" fillId="106" borderId="0" applyNumberFormat="0" applyBorder="0" applyAlignment="0" applyProtection="0"/>
    <xf numFmtId="0" fontId="135" fillId="106" borderId="0" applyNumberFormat="0" applyBorder="0" applyAlignment="0" applyProtection="0"/>
    <xf numFmtId="0" fontId="133" fillId="106" borderId="0" applyNumberFormat="0" applyBorder="0" applyAlignment="0" applyProtection="0"/>
    <xf numFmtId="0" fontId="157" fillId="106" borderId="0" applyNumberFormat="0" applyBorder="0" applyAlignment="0" applyProtection="0"/>
    <xf numFmtId="0" fontId="123" fillId="56" borderId="0" applyNumberFormat="0" applyBorder="0" applyAlignment="0" applyProtection="0">
      <alignment vertical="center"/>
    </xf>
    <xf numFmtId="0" fontId="123" fillId="56" borderId="0" applyNumberFormat="0" applyBorder="0" applyAlignment="0" applyProtection="0"/>
    <xf numFmtId="0" fontId="123" fillId="73" borderId="0" applyNumberFormat="0" applyBorder="0" applyAlignment="0" applyProtection="0">
      <alignment vertical="center"/>
    </xf>
    <xf numFmtId="0" fontId="123" fillId="73" borderId="0" applyNumberFormat="0" applyBorder="0" applyAlignment="0" applyProtection="0"/>
    <xf numFmtId="0" fontId="133" fillId="73" borderId="0" applyNumberFormat="0" applyBorder="0" applyAlignment="0" applyProtection="0">
      <alignment vertical="center"/>
    </xf>
    <xf numFmtId="0" fontId="133" fillId="73" borderId="0" applyNumberFormat="0" applyBorder="0" applyAlignment="0" applyProtection="0"/>
    <xf numFmtId="0" fontId="80" fillId="107" borderId="0" applyNumberFormat="0" applyBorder="0" applyAlignment="0" applyProtection="0"/>
    <xf numFmtId="0" fontId="136" fillId="108" borderId="0" applyNumberFormat="0" applyBorder="0" applyAlignment="0" applyProtection="0"/>
    <xf numFmtId="0" fontId="135" fillId="108" borderId="0" applyNumberFormat="0" applyBorder="0" applyAlignment="0" applyProtection="0"/>
    <xf numFmtId="0" fontId="133" fillId="108" borderId="0" applyNumberFormat="0" applyBorder="0" applyAlignment="0" applyProtection="0"/>
    <xf numFmtId="0" fontId="157" fillId="108" borderId="0" applyNumberFormat="0" applyBorder="0" applyAlignment="0" applyProtection="0"/>
    <xf numFmtId="0" fontId="123" fillId="58" borderId="0" applyNumberFormat="0" applyBorder="0" applyAlignment="0" applyProtection="0">
      <alignment vertical="center"/>
    </xf>
    <xf numFmtId="0" fontId="123" fillId="58" borderId="0" applyNumberFormat="0" applyBorder="0" applyAlignment="0" applyProtection="0"/>
    <xf numFmtId="0" fontId="133" fillId="109" borderId="0" applyNumberFormat="0" applyBorder="0" applyAlignment="0" applyProtection="0">
      <alignment vertical="center"/>
    </xf>
    <xf numFmtId="0" fontId="133" fillId="109" borderId="0" applyNumberFormat="0" applyBorder="0" applyAlignment="0" applyProtection="0"/>
    <xf numFmtId="0" fontId="135" fillId="110" borderId="0" applyNumberFormat="0" applyBorder="0" applyAlignment="0" applyProtection="0"/>
    <xf numFmtId="0" fontId="157" fillId="78" borderId="0" applyNumberFormat="0" applyBorder="0" applyAlignment="0" applyProtection="0"/>
    <xf numFmtId="0" fontId="123" fillId="61" borderId="0" applyNumberFormat="0" applyBorder="0" applyAlignment="0" applyProtection="0">
      <alignment vertical="center"/>
    </xf>
    <xf numFmtId="0" fontId="123" fillId="61" borderId="0" applyNumberFormat="0" applyBorder="0" applyAlignment="0" applyProtection="0"/>
    <xf numFmtId="0" fontId="133" fillId="81" borderId="0" applyNumberFormat="0" applyBorder="0" applyAlignment="0" applyProtection="0">
      <alignment vertical="center"/>
    </xf>
    <xf numFmtId="0" fontId="133" fillId="81" borderId="0" applyNumberFormat="0" applyBorder="0" applyAlignment="0" applyProtection="0"/>
    <xf numFmtId="0" fontId="80" fillId="91" borderId="0" applyNumberFormat="0" applyBorder="0" applyAlignment="0" applyProtection="0"/>
    <xf numFmtId="0" fontId="157" fillId="79" borderId="0" applyNumberFormat="0" applyBorder="0" applyAlignment="0" applyProtection="0"/>
    <xf numFmtId="0" fontId="123" fillId="64" borderId="0" applyNumberFormat="0" applyBorder="0" applyAlignment="0" applyProtection="0">
      <alignment vertical="center"/>
    </xf>
    <xf numFmtId="0" fontId="123" fillId="64" borderId="0" applyNumberFormat="0" applyBorder="0" applyAlignment="0" applyProtection="0"/>
    <xf numFmtId="0" fontId="123" fillId="75" borderId="0" applyNumberFormat="0" applyBorder="0" applyAlignment="0" applyProtection="0">
      <alignment vertical="center"/>
    </xf>
    <xf numFmtId="0" fontId="123" fillId="75" borderId="0" applyNumberFormat="0" applyBorder="0" applyAlignment="0" applyProtection="0"/>
    <xf numFmtId="0" fontId="133" fillId="94" borderId="0" applyNumberFormat="0" applyBorder="0" applyAlignment="0" applyProtection="0">
      <alignment vertical="center"/>
    </xf>
    <xf numFmtId="0" fontId="133" fillId="94" borderId="0" applyNumberFormat="0" applyBorder="0" applyAlignment="0" applyProtection="0"/>
    <xf numFmtId="0" fontId="80" fillId="93" borderId="0" applyNumberFormat="0" applyBorder="0" applyAlignment="0" applyProtection="0"/>
    <xf numFmtId="0" fontId="136" fillId="41" borderId="0" applyNumberFormat="0" applyBorder="0" applyAlignment="0" applyProtection="0"/>
    <xf numFmtId="0" fontId="135" fillId="41" borderId="0" applyNumberFormat="0" applyBorder="0" applyAlignment="0" applyProtection="0"/>
    <xf numFmtId="0" fontId="133" fillId="41" borderId="0" applyNumberFormat="0" applyBorder="0" applyAlignment="0" applyProtection="0"/>
    <xf numFmtId="0" fontId="157" fillId="41" borderId="0" applyNumberFormat="0" applyBorder="0" applyAlignment="0" applyProtection="0"/>
    <xf numFmtId="255" fontId="16" fillId="29" borderId="22">
      <alignment horizontal="center" vertical="center"/>
    </xf>
    <xf numFmtId="2" fontId="158" fillId="26" borderId="23" applyBorder="0">
      <alignment horizontal="center" vertical="center"/>
      <protection locked="0"/>
    </xf>
    <xf numFmtId="0" fontId="159" fillId="0" borderId="0" applyFont="0" applyFill="0" applyBorder="0" applyAlignment="0" applyProtection="0"/>
    <xf numFmtId="0" fontId="160" fillId="0" borderId="0" applyFont="0" applyFill="0" applyBorder="0" applyAlignment="0" applyProtection="0"/>
    <xf numFmtId="256" fontId="15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63" fillId="0" borderId="0" applyFont="0" applyFill="0" applyBorder="0" applyAlignment="0" applyProtection="0"/>
    <xf numFmtId="257" fontId="159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0" fontId="158" fillId="0" borderId="23" applyFill="0" applyProtection="0">
      <alignment horizontal="left" vertical="center"/>
    </xf>
    <xf numFmtId="0" fontId="158" fillId="39" borderId="0">
      <alignment horizontal="left" vertical="center"/>
    </xf>
    <xf numFmtId="0" fontId="168" fillId="0" borderId="0">
      <alignment horizontal="center" wrapText="1"/>
      <protection locked="0"/>
    </xf>
    <xf numFmtId="194" fontId="159" fillId="0" borderId="0" applyFont="0" applyFill="0" applyBorder="0" applyAlignment="0" applyProtection="0"/>
    <xf numFmtId="179" fontId="159" fillId="0" borderId="0" applyFont="0" applyFill="0" applyBorder="0" applyAlignment="0" applyProtection="0"/>
    <xf numFmtId="0" fontId="169" fillId="24" borderId="24" applyNumberFormat="0" applyAlignment="0" applyProtection="0"/>
    <xf numFmtId="0" fontId="170" fillId="0" borderId="0" applyNumberFormat="0" applyFill="0" applyBorder="0" applyAlignment="0" applyProtection="0"/>
    <xf numFmtId="258" fontId="20" fillId="0" borderId="0" applyFont="0" applyFill="0" applyBorder="0" applyAlignment="0" applyProtection="0"/>
    <xf numFmtId="0" fontId="171" fillId="22" borderId="0" applyNumberFormat="0" applyBorder="0" applyAlignment="0" applyProtection="0"/>
    <xf numFmtId="0" fontId="172" fillId="22" borderId="0" applyNumberFormat="0" applyBorder="0" applyAlignment="0" applyProtection="0"/>
    <xf numFmtId="180" fontId="171" fillId="54" borderId="0">
      <alignment vertical="center"/>
    </xf>
    <xf numFmtId="0" fontId="173" fillId="24" borderId="11" applyNumberFormat="0" applyAlignment="0" applyProtection="0"/>
    <xf numFmtId="259" fontId="89" fillId="0" borderId="0"/>
    <xf numFmtId="0" fontId="174" fillId="49" borderId="0" applyNumberFormat="0" applyBorder="0" applyAlignment="0"/>
    <xf numFmtId="0" fontId="175" fillId="0" borderId="0"/>
    <xf numFmtId="0" fontId="176" fillId="0" borderId="0"/>
    <xf numFmtId="0" fontId="177" fillId="0" borderId="0" applyNumberFormat="0" applyFill="0" applyBorder="0" applyAlignment="0" applyProtection="0"/>
    <xf numFmtId="0" fontId="178" fillId="0" borderId="0"/>
    <xf numFmtId="260" fontId="179" fillId="0" borderId="20" applyAlignment="0" applyProtection="0"/>
    <xf numFmtId="0" fontId="18" fillId="0" borderId="1"/>
    <xf numFmtId="0" fontId="180" fillId="111" borderId="1"/>
    <xf numFmtId="0" fontId="180" fillId="112" borderId="1"/>
    <xf numFmtId="0" fontId="181" fillId="28" borderId="0" applyNumberFormat="0" applyBorder="0" applyAlignment="0" applyProtection="0"/>
    <xf numFmtId="0" fontId="182" fillId="0" borderId="0" applyNumberFormat="0" applyFill="0" applyBorder="0" applyProtection="0">
      <alignment horizontal="left"/>
    </xf>
    <xf numFmtId="0" fontId="183" fillId="0" borderId="0" applyNumberFormat="0" applyFill="0" applyBorder="0" applyProtection="0">
      <alignment horizontal="left"/>
    </xf>
    <xf numFmtId="0" fontId="146" fillId="0" borderId="0"/>
    <xf numFmtId="0" fontId="164" fillId="0" borderId="0"/>
    <xf numFmtId="0" fontId="163" fillId="0" borderId="0"/>
    <xf numFmtId="0" fontId="184" fillId="0" borderId="0">
      <alignment vertical="center"/>
    </xf>
    <xf numFmtId="0" fontId="185" fillId="0" borderId="0">
      <alignment vertical="center"/>
    </xf>
    <xf numFmtId="0" fontId="159" fillId="0" borderId="0"/>
    <xf numFmtId="0" fontId="186" fillId="0" borderId="0"/>
    <xf numFmtId="0" fontId="187" fillId="0" borderId="0"/>
    <xf numFmtId="0" fontId="160" fillId="0" borderId="0"/>
    <xf numFmtId="0" fontId="161" fillId="0" borderId="0"/>
    <xf numFmtId="0" fontId="162" fillId="0" borderId="0"/>
    <xf numFmtId="0" fontId="188" fillId="0" borderId="0"/>
    <xf numFmtId="0" fontId="189" fillId="0" borderId="0"/>
    <xf numFmtId="0" fontId="190" fillId="0" borderId="0"/>
    <xf numFmtId="0" fontId="163" fillId="0" borderId="0" applyBorder="0"/>
    <xf numFmtId="0" fontId="75" fillId="0" borderId="0" applyFill="0" applyBorder="0" applyAlignment="0"/>
    <xf numFmtId="15" fontId="16" fillId="0" borderId="0" applyFill="0" applyBorder="0" applyAlignment="0">
      <alignment vertical="center"/>
    </xf>
    <xf numFmtId="261" fontId="16" fillId="0" borderId="0" applyFill="0" applyBorder="0" applyAlignment="0"/>
    <xf numFmtId="262" fontId="16" fillId="0" borderId="0" applyFill="0" applyBorder="0" applyAlignment="0">
      <alignment vertical="center"/>
    </xf>
    <xf numFmtId="253" fontId="18" fillId="0" borderId="0" applyFill="0" applyBorder="0" applyAlignment="0"/>
    <xf numFmtId="0" fontId="16" fillId="0" borderId="0" applyFill="0" applyBorder="0" applyAlignment="0"/>
    <xf numFmtId="263" fontId="16" fillId="0" borderId="0" applyFill="0" applyBorder="0" applyAlignment="0">
      <alignment vertical="center"/>
    </xf>
    <xf numFmtId="264" fontId="18" fillId="0" borderId="0" applyFill="0" applyBorder="0" applyAlignment="0"/>
    <xf numFmtId="265" fontId="16" fillId="0" borderId="0" applyFill="0" applyBorder="0" applyAlignment="0">
      <alignment vertical="center"/>
    </xf>
    <xf numFmtId="266" fontId="16" fillId="0" borderId="0" applyFill="0" applyBorder="0" applyAlignment="0"/>
    <xf numFmtId="267" fontId="16" fillId="0" borderId="0" applyFill="0" applyBorder="0" applyAlignment="0">
      <alignment vertical="center"/>
    </xf>
    <xf numFmtId="268" fontId="16" fillId="0" borderId="0" applyFill="0" applyBorder="0" applyAlignment="0"/>
    <xf numFmtId="269" fontId="16" fillId="0" borderId="0" applyFill="0" applyBorder="0" applyAlignment="0">
      <alignment vertical="center"/>
    </xf>
    <xf numFmtId="265" fontId="18" fillId="0" borderId="0" applyFill="0" applyBorder="0" applyAlignment="0"/>
    <xf numFmtId="0" fontId="191" fillId="26" borderId="11" applyNumberFormat="0" applyAlignment="0" applyProtection="0"/>
    <xf numFmtId="0" fontId="110" fillId="0" borderId="0" applyNumberFormat="0" applyFill="0" applyBorder="0" applyAlignment="0"/>
    <xf numFmtId="38" fontId="28" fillId="0" borderId="0" applyFont="0" applyFill="0" applyBorder="0" applyAlignment="0" applyProtection="0"/>
    <xf numFmtId="0" fontId="180" fillId="0" borderId="0"/>
    <xf numFmtId="0" fontId="192" fillId="113" borderId="25" applyNumberFormat="0" applyAlignment="0" applyProtection="0"/>
    <xf numFmtId="0" fontId="193" fillId="0" borderId="26" applyNumberFormat="0" applyFill="0" applyAlignment="0" applyProtection="0"/>
    <xf numFmtId="0" fontId="194" fillId="113" borderId="25" applyNumberFormat="0" applyAlignment="0" applyProtection="0"/>
    <xf numFmtId="0" fontId="195" fillId="113" borderId="25" applyNumberFormat="0" applyAlignment="0" applyProtection="0"/>
    <xf numFmtId="0" fontId="172" fillId="114" borderId="0" applyNumberFormat="0" applyBorder="0" applyAlignment="0" applyProtection="0"/>
    <xf numFmtId="0" fontId="196" fillId="0" borderId="0" applyFont="0" applyFill="0" applyBorder="0" applyAlignment="0" applyProtection="0"/>
    <xf numFmtId="49" fontId="197" fillId="0" borderId="0" applyFill="0" applyBorder="0">
      <alignment horizontal="left" vertical="center"/>
    </xf>
    <xf numFmtId="0" fontId="198" fillId="0" borderId="0">
      <alignment vertical="center"/>
    </xf>
    <xf numFmtId="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Alignment="0" applyProtection="0">
      <alignment vertical="top"/>
      <protection locked="0"/>
    </xf>
    <xf numFmtId="0" fontId="72" fillId="0" borderId="0" applyNumberFormat="0" applyBorder="0">
      <alignment vertical="center"/>
    </xf>
    <xf numFmtId="180" fontId="201" fillId="0" borderId="27">
      <alignment horizontal="center"/>
    </xf>
    <xf numFmtId="0" fontId="198" fillId="0" borderId="16">
      <alignment horizontal="center"/>
    </xf>
    <xf numFmtId="0" fontId="174" fillId="115" borderId="0">
      <alignment horizontal="left"/>
    </xf>
    <xf numFmtId="0" fontId="202" fillId="115" borderId="0">
      <alignment horizontal="right"/>
    </xf>
    <xf numFmtId="0" fontId="203" fillId="26" borderId="0">
      <alignment horizontal="center"/>
    </xf>
    <xf numFmtId="0" fontId="204" fillId="26" borderId="0">
      <alignment horizontal="left"/>
    </xf>
    <xf numFmtId="0" fontId="205" fillId="0" borderId="0" applyNumberFormat="0" applyFill="0" applyBorder="0" applyProtection="0">
      <alignment horizontal="right"/>
    </xf>
    <xf numFmtId="270" fontId="206" fillId="0" borderId="0"/>
    <xf numFmtId="41" fontId="16" fillId="0" borderId="0"/>
    <xf numFmtId="41" fontId="16" fillId="0" borderId="0" applyNumberFormat="0"/>
    <xf numFmtId="38" fontId="16" fillId="0" borderId="0" applyFill="0" applyBorder="0" applyProtection="0"/>
    <xf numFmtId="38" fontId="16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>
      <alignment vertical="center"/>
    </xf>
    <xf numFmtId="15" fontId="23" fillId="0" borderId="0" applyFont="0" applyFill="0" applyBorder="0" applyAlignment="0" applyProtection="0">
      <alignment vertical="center"/>
    </xf>
    <xf numFmtId="15" fontId="123" fillId="0" borderId="0" applyFont="0" applyFill="0" applyBorder="0" applyAlignment="0" applyProtection="0">
      <alignment vertical="center"/>
    </xf>
    <xf numFmtId="271" fontId="16" fillId="0" borderId="0" applyFont="0" applyFill="0"/>
    <xf numFmtId="192" fontId="123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92" fontId="23" fillId="0" borderId="0" applyFont="0" applyFill="0" applyBorder="0" applyAlignment="0" applyProtection="0">
      <alignment vertical="center"/>
    </xf>
    <xf numFmtId="192" fontId="123" fillId="0" borderId="0" applyFont="0" applyFill="0" applyBorder="0" applyAlignment="0" applyProtection="0">
      <alignment vertical="center"/>
    </xf>
    <xf numFmtId="192" fontId="490" fillId="0" borderId="0" applyFont="0" applyFill="0" applyBorder="0" applyAlignment="0" applyProtection="0"/>
    <xf numFmtId="192" fontId="17" fillId="0" borderId="0" applyFont="0" applyFill="0" applyBorder="0" applyAlignment="0" applyProtection="0"/>
    <xf numFmtId="192" fontId="19" fillId="0" borderId="0" applyFont="0" applyFill="0" applyBorder="0" applyAlignment="0" applyProtection="0">
      <alignment vertical="center"/>
    </xf>
    <xf numFmtId="272" fontId="16" fillId="0" borderId="0"/>
    <xf numFmtId="273" fontId="110" fillId="0" borderId="0"/>
    <xf numFmtId="274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207" fillId="0" borderId="0"/>
    <xf numFmtId="0" fontId="123" fillId="30" borderId="14" applyNumberFormat="0" applyFont="0" applyAlignment="0" applyProtection="0"/>
    <xf numFmtId="0" fontId="208" fillId="0" borderId="0" applyNumberFormat="0" applyAlignment="0">
      <alignment horizontal="left"/>
    </xf>
    <xf numFmtId="0" fontId="91" fillId="0" borderId="0" applyNumberFormat="0" applyAlignment="0"/>
    <xf numFmtId="275" fontId="209" fillId="0" borderId="0" applyFont="0" applyFill="0" applyBorder="0" applyAlignment="0" applyProtection="0"/>
    <xf numFmtId="276" fontId="210" fillId="0" borderId="0" applyFill="0"/>
    <xf numFmtId="276" fontId="211" fillId="0" borderId="0" applyFill="0">
      <alignment horizontal="right"/>
      <protection locked="0"/>
    </xf>
    <xf numFmtId="277" fontId="16" fillId="0" borderId="0" applyFont="0" applyFill="0" applyBorder="0" applyAlignment="0" applyProtection="0"/>
    <xf numFmtId="262" fontId="23" fillId="0" borderId="0" applyFont="0" applyFill="0" applyBorder="0" applyAlignment="0" applyProtection="0">
      <alignment vertical="center"/>
    </xf>
    <xf numFmtId="262" fontId="123" fillId="0" borderId="0" applyFont="0" applyFill="0" applyBorder="0" applyAlignment="0" applyProtection="0">
      <alignment vertical="center"/>
    </xf>
    <xf numFmtId="278" fontId="62" fillId="0" borderId="0" applyFont="0" applyFill="0" applyBorder="0" applyAlignment="0" applyProtection="0"/>
    <xf numFmtId="191" fontId="23" fillId="0" borderId="0" applyFont="0" applyFill="0" applyBorder="0" applyAlignment="0" applyProtection="0">
      <alignment vertical="center"/>
    </xf>
    <xf numFmtId="191" fontId="123" fillId="0" borderId="0" applyFont="0" applyFill="0" applyBorder="0" applyAlignment="0" applyProtection="0">
      <alignment vertical="center"/>
    </xf>
    <xf numFmtId="191" fontId="110" fillId="0" borderId="0" applyFont="0" applyFill="0" applyBorder="0" applyAlignment="0" applyProtection="0"/>
    <xf numFmtId="204" fontId="62" fillId="0" borderId="0" applyFont="0" applyFill="0" applyBorder="0" applyAlignment="0" applyProtection="0"/>
    <xf numFmtId="270" fontId="212" fillId="0" borderId="0" applyFont="0" applyFill="0" applyBorder="0" applyAlignment="0" applyProtection="0"/>
    <xf numFmtId="191" fontId="123" fillId="0" borderId="0" applyFont="0" applyFill="0" applyBorder="0" applyAlignment="0" applyProtection="0"/>
    <xf numFmtId="279" fontId="62" fillId="0" borderId="0" applyFont="0" applyFill="0" applyBorder="0" applyAlignment="0" applyProtection="0"/>
    <xf numFmtId="265" fontId="18" fillId="0" borderId="0" applyFont="0" applyFill="0" applyBorder="0" applyAlignment="0" applyProtection="0"/>
    <xf numFmtId="280" fontId="16" fillId="0" borderId="0" applyFont="0" applyFill="0" applyBorder="0" applyAlignment="0" applyProtection="0"/>
    <xf numFmtId="281" fontId="20" fillId="0" borderId="0" applyFont="0" applyFill="0" applyBorder="0" applyAlignment="0" applyProtection="0"/>
    <xf numFmtId="282" fontId="16" fillId="0" borderId="0"/>
    <xf numFmtId="283" fontId="110" fillId="0" borderId="0"/>
    <xf numFmtId="0" fontId="16" fillId="24" borderId="0" applyFont="0" applyBorder="0"/>
    <xf numFmtId="0" fontId="213" fillId="0" borderId="0"/>
    <xf numFmtId="0" fontId="214" fillId="0" borderId="0"/>
    <xf numFmtId="284" fontId="28" fillId="24" borderId="0" applyFont="0" applyBorder="0"/>
    <xf numFmtId="3" fontId="215" fillId="0" borderId="0"/>
    <xf numFmtId="0" fontId="214" fillId="0" borderId="28"/>
    <xf numFmtId="285" fontId="16" fillId="68" borderId="0" applyNumberFormat="0" applyFont="0" applyAlignment="0" applyProtection="0">
      <alignment horizontal="center"/>
    </xf>
    <xf numFmtId="15" fontId="15" fillId="0" borderId="0"/>
    <xf numFmtId="14" fontId="75" fillId="0" borderId="0" applyFill="0" applyBorder="0" applyAlignment="0"/>
    <xf numFmtId="14" fontId="75" fillId="0" borderId="0" applyFill="0" applyBorder="0" applyAlignment="0">
      <alignment vertical="center"/>
    </xf>
    <xf numFmtId="0" fontId="30" fillId="0" borderId="0" applyFill="0" applyBorder="0" applyAlignment="0" applyProtection="0"/>
    <xf numFmtId="2" fontId="216" fillId="0" borderId="0" applyFill="0">
      <alignment horizontal="right"/>
    </xf>
    <xf numFmtId="38" fontId="15" fillId="0" borderId="29">
      <alignment vertical="center"/>
    </xf>
    <xf numFmtId="286" fontId="89" fillId="0" borderId="0"/>
    <xf numFmtId="287" fontId="16" fillId="0" borderId="0" applyFont="0" applyFill="0" applyBorder="0" applyAlignment="0" applyProtection="0"/>
    <xf numFmtId="0" fontId="217" fillId="0" borderId="0">
      <protection locked="0"/>
    </xf>
    <xf numFmtId="3" fontId="16" fillId="43" borderId="0" applyNumberFormat="0" applyFont="0" applyBorder="0" applyAlignment="0" applyProtection="0">
      <alignment horizontal="center"/>
    </xf>
    <xf numFmtId="288" fontId="16" fillId="0" borderId="0"/>
    <xf numFmtId="289" fontId="110" fillId="0" borderId="0"/>
    <xf numFmtId="49" fontId="218" fillId="0" borderId="0">
      <alignment horizontal="right" vertical="top"/>
    </xf>
    <xf numFmtId="0" fontId="219" fillId="0" borderId="0" applyNumberFormat="0" applyFill="0" applyBorder="0" applyProtection="0">
      <alignment horizontal="left"/>
    </xf>
    <xf numFmtId="0" fontId="220" fillId="25" borderId="11" applyNumberFormat="0" applyAlignment="0" applyProtection="0"/>
    <xf numFmtId="0" fontId="93" fillId="116" borderId="0" applyNumberFormat="0" applyBorder="0" applyAlignment="0" applyProtection="0">
      <alignment vertical="center"/>
    </xf>
    <xf numFmtId="0" fontId="93" fillId="116" borderId="0" applyNumberFormat="0" applyBorder="0" applyAlignment="0" applyProtection="0"/>
    <xf numFmtId="0" fontId="93" fillId="117" borderId="0" applyNumberFormat="0" applyBorder="0" applyAlignment="0" applyProtection="0">
      <alignment vertical="center"/>
    </xf>
    <xf numFmtId="0" fontId="93" fillId="117" borderId="0" applyNumberFormat="0" applyBorder="0" applyAlignment="0" applyProtection="0"/>
    <xf numFmtId="0" fontId="93" fillId="118" borderId="0" applyNumberFormat="0" applyBorder="0" applyAlignment="0" applyProtection="0">
      <alignment vertical="center"/>
    </xf>
    <xf numFmtId="0" fontId="93" fillId="118" borderId="0" applyNumberFormat="0" applyBorder="0" applyAlignment="0" applyProtection="0"/>
    <xf numFmtId="0" fontId="221" fillId="0" borderId="0">
      <protection locked="0"/>
    </xf>
    <xf numFmtId="0" fontId="222" fillId="0" borderId="0" applyNumberFormat="0" applyFill="0" applyBorder="0" applyAlignment="0" applyProtection="0"/>
    <xf numFmtId="0" fontId="223" fillId="0" borderId="0" applyFill="0" applyBorder="0" applyAlignment="0"/>
    <xf numFmtId="0" fontId="77" fillId="0" borderId="0" applyNumberFormat="0" applyAlignment="0">
      <alignment horizontal="left"/>
    </xf>
    <xf numFmtId="0" fontId="224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6" fillId="0" borderId="0" applyNumberFormat="0" applyFont="0" applyFill="0" applyBorder="0" applyAlignment="0" applyProtection="0"/>
    <xf numFmtId="0" fontId="147" fillId="0" borderId="0">
      <alignment horizontal="left"/>
    </xf>
    <xf numFmtId="0" fontId="93" fillId="0" borderId="12" applyNumberFormat="0" applyFill="0" applyAlignment="0" applyProtection="0"/>
    <xf numFmtId="0" fontId="227" fillId="0" borderId="0" applyNumberFormat="0" applyFill="0" applyBorder="0" applyAlignment="0" applyProtection="0"/>
    <xf numFmtId="0" fontId="228" fillId="0" borderId="0" applyNumberFormat="0" applyFill="0" applyBorder="0" applyProtection="0">
      <alignment horizontal="right"/>
    </xf>
    <xf numFmtId="200" fontId="82" fillId="0" borderId="0" applyFont="0" applyFill="0" applyBorder="0" applyAlignment="0" applyProtection="0"/>
    <xf numFmtId="200" fontId="20" fillId="0" borderId="0" applyFont="0" applyFill="0" applyBorder="0" applyAlignment="0" applyProtection="0"/>
    <xf numFmtId="290" fontId="229" fillId="0" borderId="1" applyFont="0" applyFill="0" applyBorder="0" applyAlignment="0" applyProtection="0">
      <alignment horizontal="center"/>
      <protection locked="0"/>
    </xf>
    <xf numFmtId="180" fontId="80" fillId="119" borderId="0">
      <alignment vertical="center"/>
    </xf>
    <xf numFmtId="180" fontId="80" fillId="120" borderId="0">
      <alignment vertical="center"/>
    </xf>
    <xf numFmtId="180" fontId="80" fillId="121" borderId="0">
      <alignment vertical="center"/>
    </xf>
    <xf numFmtId="180" fontId="80" fillId="122" borderId="0">
      <alignment vertical="center"/>
    </xf>
    <xf numFmtId="180" fontId="230" fillId="54" borderId="0">
      <alignment vertical="center"/>
    </xf>
    <xf numFmtId="180" fontId="73" fillId="83" borderId="11">
      <alignment vertical="center"/>
    </xf>
    <xf numFmtId="180" fontId="231" fillId="123" borderId="25">
      <alignment vertical="center"/>
    </xf>
    <xf numFmtId="180" fontId="71" fillId="0" borderId="0">
      <alignment vertical="center"/>
    </xf>
    <xf numFmtId="180" fontId="232" fillId="56" borderId="0">
      <alignment vertical="center"/>
    </xf>
    <xf numFmtId="180" fontId="107" fillId="0" borderId="30">
      <alignment vertical="center"/>
    </xf>
    <xf numFmtId="180" fontId="233" fillId="0" borderId="31">
      <alignment vertical="center"/>
    </xf>
    <xf numFmtId="180" fontId="109" fillId="0" borderId="32">
      <alignment vertical="center"/>
    </xf>
    <xf numFmtId="180" fontId="109" fillId="0" borderId="0">
      <alignment vertical="center"/>
    </xf>
    <xf numFmtId="180" fontId="234" fillId="64" borderId="11">
      <alignment vertical="center"/>
    </xf>
    <xf numFmtId="180" fontId="235" fillId="0" borderId="26">
      <alignment vertical="center"/>
    </xf>
    <xf numFmtId="180" fontId="99" fillId="82" borderId="0">
      <alignment vertical="center"/>
    </xf>
    <xf numFmtId="0" fontId="60" fillId="0" borderId="0">
      <alignment vertical="center"/>
    </xf>
    <xf numFmtId="291" fontId="123" fillId="0" borderId="0">
      <alignment vertical="center"/>
    </xf>
    <xf numFmtId="180" fontId="236" fillId="124" borderId="14">
      <alignment vertical="center"/>
    </xf>
    <xf numFmtId="180" fontId="237" fillId="83" borderId="24">
      <alignment vertical="center"/>
    </xf>
    <xf numFmtId="180" fontId="76" fillId="0" borderId="0">
      <alignment vertical="center"/>
    </xf>
    <xf numFmtId="180" fontId="106" fillId="0" borderId="12">
      <alignment vertical="center"/>
    </xf>
    <xf numFmtId="180" fontId="238" fillId="0" borderId="0">
      <alignment vertical="center"/>
    </xf>
    <xf numFmtId="0" fontId="239" fillId="0" borderId="0" applyNumberFormat="0" applyFill="0" applyBorder="0" applyAlignment="0" applyProtection="0"/>
    <xf numFmtId="180" fontId="240" fillId="0" borderId="0" applyNumberFormat="0" applyFill="0" applyBorder="0" applyAlignment="0" applyProtection="0"/>
    <xf numFmtId="180" fontId="239" fillId="0" borderId="0">
      <alignment vertical="center"/>
    </xf>
    <xf numFmtId="292" fontId="89" fillId="0" borderId="0"/>
    <xf numFmtId="0" fontId="241" fillId="0" borderId="0">
      <protection locked="0"/>
    </xf>
    <xf numFmtId="0" fontId="242" fillId="0" borderId="0">
      <protection locked="0"/>
    </xf>
    <xf numFmtId="0" fontId="243" fillId="0" borderId="0">
      <protection locked="0"/>
    </xf>
    <xf numFmtId="3" fontId="226" fillId="0" borderId="0" applyFont="0" applyFill="0" applyBorder="0" applyAlignment="0" applyProtection="0"/>
    <xf numFmtId="2" fontId="16" fillId="0" borderId="0" applyFont="0" applyFill="0" applyBorder="0" applyAlignment="0" applyProtection="0"/>
    <xf numFmtId="293" fontId="16" fillId="0" borderId="0">
      <protection locked="0"/>
    </xf>
    <xf numFmtId="0" fontId="244" fillId="0" borderId="0"/>
    <xf numFmtId="0" fontId="245" fillId="0" borderId="0" applyNumberFormat="0" applyFill="0" applyBorder="0" applyAlignment="0" applyProtection="0">
      <alignment vertical="top"/>
      <protection locked="0"/>
    </xf>
    <xf numFmtId="0" fontId="246" fillId="0" borderId="0" applyNumberFormat="0" applyFill="0" applyBorder="0" applyAlignment="0" applyProtection="0"/>
    <xf numFmtId="254" fontId="247" fillId="0" borderId="0" applyNumberFormat="0" applyFill="0" applyBorder="0" applyAlignment="0" applyProtection="0"/>
    <xf numFmtId="0" fontId="248" fillId="0" borderId="0" applyNumberFormat="0" applyFill="0" applyBorder="0" applyProtection="0">
      <alignment horizontal="right"/>
    </xf>
    <xf numFmtId="3" fontId="86" fillId="0" borderId="33" applyNumberFormat="0" applyBorder="0" applyAlignment="0"/>
    <xf numFmtId="186" fontId="86" fillId="0" borderId="33" applyBorder="0" applyAlignment="0"/>
    <xf numFmtId="3" fontId="86" fillId="0" borderId="33" applyBorder="0" applyAlignment="0"/>
    <xf numFmtId="254" fontId="86" fillId="0" borderId="34"/>
    <xf numFmtId="2" fontId="86" fillId="0" borderId="33" applyBorder="0" applyAlignment="0">
      <alignment horizontal="right"/>
    </xf>
    <xf numFmtId="9" fontId="249" fillId="0" borderId="0" applyFont="0" applyFill="0" applyBorder="0" applyAlignment="0" applyProtection="0"/>
    <xf numFmtId="0" fontId="178" fillId="0" borderId="23" applyProtection="0">
      <alignment horizontal="center"/>
    </xf>
    <xf numFmtId="0" fontId="86" fillId="125" borderId="35">
      <alignment horizontal="center" vertical="center"/>
      <protection locked="0"/>
    </xf>
    <xf numFmtId="0" fontId="86" fillId="31" borderId="35">
      <alignment horizontal="center" vertical="center"/>
      <protection locked="0"/>
    </xf>
    <xf numFmtId="0" fontId="250" fillId="0" borderId="0"/>
    <xf numFmtId="0" fontId="251" fillId="0" borderId="0"/>
    <xf numFmtId="0" fontId="252" fillId="126" borderId="15">
      <alignment horizontal="right"/>
      <protection hidden="1"/>
    </xf>
    <xf numFmtId="0" fontId="253" fillId="126" borderId="0">
      <alignment horizontal="left"/>
      <protection hidden="1"/>
    </xf>
    <xf numFmtId="0" fontId="254" fillId="28" borderId="0" applyNumberFormat="0" applyBorder="0" applyAlignment="0" applyProtection="0"/>
    <xf numFmtId="180" fontId="254" fillId="56" borderId="0">
      <alignment vertical="center"/>
    </xf>
    <xf numFmtId="38" fontId="89" fillId="24" borderId="0" applyNumberFormat="0" applyBorder="0" applyAlignment="0" applyProtection="0"/>
    <xf numFmtId="0" fontId="89" fillId="24" borderId="0" applyNumberFormat="0" applyBorder="0" applyAlignment="0" applyProtection="0">
      <alignment vertical="center"/>
    </xf>
    <xf numFmtId="0" fontId="19" fillId="127" borderId="0"/>
    <xf numFmtId="0" fontId="255" fillId="0" borderId="0" applyAlignment="0" applyProtection="0"/>
    <xf numFmtId="0" fontId="256" fillId="0" borderId="0" applyAlignment="0" applyProtection="0"/>
    <xf numFmtId="0" fontId="257" fillId="0" borderId="0" applyAlignment="0" applyProtection="0"/>
    <xf numFmtId="0" fontId="258" fillId="0" borderId="0">
      <alignment horizontal="left"/>
    </xf>
    <xf numFmtId="0" fontId="259" fillId="0" borderId="0" applyNumberFormat="0" applyFill="0" applyBorder="0" applyAlignment="0" applyProtection="0"/>
    <xf numFmtId="0" fontId="70" fillId="0" borderId="36" applyNumberFormat="0" applyAlignment="0" applyProtection="0">
      <alignment horizontal="left" vertical="center"/>
    </xf>
    <xf numFmtId="0" fontId="70" fillId="0" borderId="37">
      <alignment horizontal="left" vertical="center"/>
    </xf>
    <xf numFmtId="0" fontId="260" fillId="0" borderId="0">
      <alignment horizontal="left"/>
    </xf>
    <xf numFmtId="0" fontId="261" fillId="0" borderId="0" applyNumberFormat="0" applyFill="0" applyBorder="0" applyAlignment="0" applyProtection="0"/>
    <xf numFmtId="0" fontId="262" fillId="0" borderId="38" applyNumberFormat="0" applyFill="0" applyAlignment="0" applyProtection="0"/>
    <xf numFmtId="0" fontId="263" fillId="0" borderId="13" applyNumberFormat="0" applyFill="0" applyAlignment="0" applyProtection="0"/>
    <xf numFmtId="180" fontId="11" fillId="0" borderId="39" applyNumberFormat="0" applyFill="0" applyAlignment="0" applyProtection="0"/>
    <xf numFmtId="0" fontId="107" fillId="0" borderId="13" applyNumberFormat="0" applyFill="0" applyAlignment="0" applyProtection="0"/>
    <xf numFmtId="0" fontId="264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/>
    <xf numFmtId="0" fontId="265" fillId="0" borderId="40" applyNumberFormat="0" applyFill="0" applyAlignment="0" applyProtection="0"/>
    <xf numFmtId="0" fontId="266" fillId="0" borderId="40" applyNumberFormat="0" applyFill="0" applyAlignment="0" applyProtection="0"/>
    <xf numFmtId="180" fontId="12" fillId="0" borderId="41" applyNumberFormat="0" applyFill="0" applyAlignment="0" applyProtection="0"/>
    <xf numFmtId="0" fontId="233" fillId="0" borderId="40" applyNumberFormat="0" applyFill="0" applyAlignment="0" applyProtection="0"/>
    <xf numFmtId="0" fontId="267" fillId="0" borderId="40" applyNumberFormat="0" applyFill="0" applyAlignment="0" applyProtection="0">
      <alignment vertical="center"/>
    </xf>
    <xf numFmtId="0" fontId="268" fillId="0" borderId="42" applyNumberFormat="0" applyFill="0" applyAlignment="0" applyProtection="0"/>
    <xf numFmtId="0" fontId="222" fillId="0" borderId="43" applyNumberFormat="0" applyFill="0" applyAlignment="0" applyProtection="0"/>
    <xf numFmtId="180" fontId="13" fillId="0" borderId="44" applyNumberFormat="0" applyFill="0" applyAlignment="0" applyProtection="0"/>
    <xf numFmtId="0" fontId="109" fillId="0" borderId="43" applyNumberFormat="0" applyFill="0" applyAlignment="0" applyProtection="0"/>
    <xf numFmtId="0" fontId="268" fillId="0" borderId="0" applyNumberFormat="0" applyFill="0" applyBorder="0" applyAlignment="0" applyProtection="0"/>
    <xf numFmtId="180" fontId="13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80" fontId="268" fillId="0" borderId="0" applyNumberFormat="0" applyFill="0" applyBorder="0" applyAlignment="0" applyProtection="0"/>
    <xf numFmtId="180" fontId="222" fillId="0" borderId="0" applyNumberFormat="0" applyFill="0" applyBorder="0" applyAlignment="0" applyProtection="0"/>
    <xf numFmtId="180" fontId="268" fillId="0" borderId="0">
      <alignment vertical="center"/>
    </xf>
    <xf numFmtId="14" fontId="269" fillId="27" borderId="27">
      <alignment horizontal="center" vertical="center" wrapText="1"/>
    </xf>
    <xf numFmtId="0" fontId="270" fillId="0" borderId="0" applyNumberFormat="0" applyBorder="0" applyProtection="0">
      <alignment horizontal="center" vertical="center"/>
    </xf>
    <xf numFmtId="294" fontId="16" fillId="0" borderId="0">
      <protection locked="0"/>
    </xf>
    <xf numFmtId="295" fontId="269" fillId="0" borderId="0">
      <protection locked="0"/>
    </xf>
    <xf numFmtId="0" fontId="261" fillId="0" borderId="0" applyProtection="0"/>
    <xf numFmtId="0" fontId="271" fillId="0" borderId="0">
      <alignment horizontal="center" vertical="center" textRotation="90"/>
    </xf>
    <xf numFmtId="0" fontId="272" fillId="0" borderId="0" applyNumberFormat="0" applyBorder="0" applyProtection="0">
      <alignment horizontal="center" vertical="center" textRotation="90"/>
    </xf>
    <xf numFmtId="0" fontId="270" fillId="0" borderId="0" applyNumberFormat="0" applyBorder="0" applyProtection="0">
      <alignment horizontal="center" vertical="center" textRotation="90"/>
    </xf>
    <xf numFmtId="0" fontId="70" fillId="0" borderId="0" applyProtection="0"/>
    <xf numFmtId="0" fontId="258" fillId="0" borderId="0"/>
    <xf numFmtId="0" fontId="273" fillId="0" borderId="27">
      <alignment horizontal="center"/>
    </xf>
    <xf numFmtId="0" fontId="273" fillId="0" borderId="0">
      <alignment horizontal="center"/>
    </xf>
    <xf numFmtId="0" fontId="156" fillId="128" borderId="0"/>
    <xf numFmtId="0" fontId="274" fillId="129" borderId="0"/>
    <xf numFmtId="0" fontId="70" fillId="0" borderId="0"/>
    <xf numFmtId="0" fontId="223" fillId="0" borderId="45" applyNumberFormat="0" applyFill="0" applyAlignment="0" applyProtection="0"/>
    <xf numFmtId="0" fontId="275" fillId="0" borderId="0" applyNumberFormat="0" applyFill="0" applyBorder="0" applyAlignment="0" applyProtection="0"/>
    <xf numFmtId="0" fontId="276" fillId="0" borderId="0" applyNumberFormat="0" applyFill="0" applyBorder="0" applyProtection="0">
      <alignment horizontal="left" vertical="top"/>
      <protection locked="0"/>
    </xf>
    <xf numFmtId="0" fontId="277" fillId="0" borderId="0" applyBorder="0"/>
    <xf numFmtId="284" fontId="86" fillId="0" borderId="33" applyBorder="0" applyAlignment="0"/>
    <xf numFmtId="10" fontId="89" fillId="30" borderId="1" applyNumberFormat="0" applyBorder="0" applyAlignment="0" applyProtection="0"/>
    <xf numFmtId="0" fontId="89" fillId="30" borderId="1" applyNumberFormat="0" applyBorder="0" applyAlignment="0" applyProtection="0">
      <alignment vertical="center"/>
    </xf>
    <xf numFmtId="10" fontId="89" fillId="26" borderId="1" applyNumberFormat="0" applyBorder="0" applyAlignment="0" applyProtection="0"/>
    <xf numFmtId="0" fontId="234" fillId="130" borderId="11" applyNumberFormat="0" applyAlignment="0" applyProtection="0"/>
    <xf numFmtId="180" fontId="278" fillId="25" borderId="11" applyNumberFormat="0" applyAlignment="0" applyProtection="0">
      <alignment vertical="center"/>
    </xf>
    <xf numFmtId="180" fontId="278" fillId="25" borderId="11" applyNumberFormat="0" applyAlignment="0" applyProtection="0"/>
    <xf numFmtId="180" fontId="220" fillId="25" borderId="11" applyNumberFormat="0" applyAlignment="0" applyProtection="0"/>
    <xf numFmtId="0" fontId="278" fillId="25" borderId="11" applyNumberFormat="0" applyAlignment="0" applyProtection="0"/>
    <xf numFmtId="253" fontId="244" fillId="126" borderId="0"/>
    <xf numFmtId="296" fontId="16" fillId="126" borderId="0"/>
    <xf numFmtId="180" fontId="279" fillId="25" borderId="11" applyProtection="0"/>
    <xf numFmtId="297" fontId="280" fillId="0" borderId="0">
      <alignment horizontal="left"/>
    </xf>
    <xf numFmtId="0" fontId="257" fillId="0" borderId="0"/>
    <xf numFmtId="0" fontId="75" fillId="0" borderId="0" applyNumberFormat="0" applyFill="0" applyBorder="0" applyProtection="0">
      <alignment horizontal="left"/>
    </xf>
    <xf numFmtId="0" fontId="281" fillId="0" borderId="1" applyNumberFormat="0">
      <alignment horizontal="center" vertical="center"/>
    </xf>
    <xf numFmtId="0" fontId="277" fillId="0" borderId="0"/>
    <xf numFmtId="0" fontId="282" fillId="0" borderId="0" applyNumberFormat="0" applyFont="0" applyAlignment="0"/>
    <xf numFmtId="292" fontId="16" fillId="30" borderId="0" applyNumberFormat="0" applyFont="0" applyBorder="0" applyAlignment="0" applyProtection="0"/>
    <xf numFmtId="0" fontId="86" fillId="0" borderId="46" applyNumberFormat="0" applyFill="0" applyBorder="0" applyAlignment="0">
      <alignment horizontal="centerContinuous"/>
    </xf>
    <xf numFmtId="0" fontId="283" fillId="131" borderId="28"/>
    <xf numFmtId="0" fontId="110" fillId="0" borderId="0" applyNumberFormat="0" applyFont="0" applyFill="0" applyBorder="0" applyProtection="0">
      <alignment horizontal="left" vertical="center"/>
    </xf>
    <xf numFmtId="0" fontId="284" fillId="0" borderId="0" applyNumberFormat="0" applyFill="0" applyBorder="0" applyAlignment="0" applyProtection="0">
      <alignment vertical="top"/>
      <protection locked="0"/>
    </xf>
    <xf numFmtId="0" fontId="285" fillId="0" borderId="0" applyNumberFormat="0" applyFill="0" applyBorder="0" applyAlignment="0" applyProtection="0">
      <alignment vertical="top"/>
      <protection locked="0"/>
    </xf>
    <xf numFmtId="0" fontId="286" fillId="26" borderId="0">
      <alignment horizontal="left"/>
    </xf>
    <xf numFmtId="0" fontId="287" fillId="0" borderId="0" applyFill="0" applyBorder="0" applyAlignment="0"/>
    <xf numFmtId="0" fontId="288" fillId="0" borderId="26" applyNumberFormat="0" applyFill="0" applyAlignment="0" applyProtection="0"/>
    <xf numFmtId="180" fontId="289" fillId="0" borderId="9" applyNumberFormat="0" applyFill="0" applyAlignment="0" applyProtection="0"/>
    <xf numFmtId="180" fontId="193" fillId="0" borderId="26" applyNumberFormat="0" applyFill="0" applyAlignment="0" applyProtection="0"/>
    <xf numFmtId="253" fontId="290" fillId="115" borderId="0"/>
    <xf numFmtId="296" fontId="16" fillId="115" borderId="0"/>
    <xf numFmtId="298" fontId="229" fillId="0" borderId="1" applyFont="0" applyFill="0" applyBorder="0" applyAlignment="0" applyProtection="0">
      <protection locked="0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298" fontId="16" fillId="0" borderId="0" applyFont="0" applyFill="0" applyBorder="0" applyAlignment="0" applyProtection="0"/>
    <xf numFmtId="299" fontId="37" fillId="0" borderId="0" applyFont="0" applyFill="0" applyBorder="0" applyAlignment="0" applyProtection="0"/>
    <xf numFmtId="300" fontId="37" fillId="0" borderId="0" applyFont="0" applyFill="0" applyBorder="0" applyAlignment="0" applyProtection="0"/>
    <xf numFmtId="301" fontId="16" fillId="0" borderId="0" applyFont="0" applyFill="0" applyBorder="0" applyAlignment="0" applyProtection="0"/>
    <xf numFmtId="302" fontId="16" fillId="0" borderId="0" applyFont="0" applyFill="0" applyBorder="0" applyAlignment="0" applyProtection="0"/>
    <xf numFmtId="303" fontId="15" fillId="0" borderId="0" applyFont="0" applyFill="0" applyBorder="0" applyAlignment="0" applyProtection="0"/>
    <xf numFmtId="304" fontId="291" fillId="0" borderId="0" applyFont="0" applyFill="0" applyBorder="0" applyAlignment="0" applyProtection="0"/>
    <xf numFmtId="305" fontId="15" fillId="0" borderId="0" applyFont="0" applyFill="0" applyBorder="0" applyAlignment="0" applyProtection="0"/>
    <xf numFmtId="265" fontId="291" fillId="0" borderId="0" applyFont="0" applyFill="0" applyBorder="0" applyAlignment="0" applyProtection="0"/>
    <xf numFmtId="306" fontId="226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28" fillId="0" borderId="0" applyFont="0" applyFill="0" applyBorder="0" applyAlignment="0" applyProtection="0"/>
    <xf numFmtId="304" fontId="292" fillId="0" borderId="0" applyFont="0" applyFill="0" applyBorder="0" applyAlignment="0" applyProtection="0"/>
    <xf numFmtId="265" fontId="292" fillId="0" borderId="0" applyFont="0" applyFill="0" applyBorder="0" applyAlignment="0" applyProtection="0"/>
    <xf numFmtId="277" fontId="15" fillId="0" borderId="0" applyFont="0" applyFill="0" applyBorder="0" applyAlignment="0" applyProtection="0"/>
    <xf numFmtId="309" fontId="15" fillId="0" borderId="0" applyFont="0" applyFill="0" applyBorder="0" applyAlignment="0" applyProtection="0"/>
    <xf numFmtId="0" fontId="293" fillId="0" borderId="38" applyNumberFormat="0" applyFill="0" applyAlignment="0" applyProtection="0"/>
    <xf numFmtId="0" fontId="294" fillId="0" borderId="40" applyNumberFormat="0" applyFill="0" applyAlignment="0" applyProtection="0"/>
    <xf numFmtId="0" fontId="295" fillId="0" borderId="42" applyNumberFormat="0" applyFill="0" applyAlignment="0" applyProtection="0"/>
    <xf numFmtId="0" fontId="295" fillId="0" borderId="0" applyNumberFormat="0" applyFill="0" applyBorder="0" applyAlignment="0" applyProtection="0"/>
    <xf numFmtId="0" fontId="296" fillId="23" borderId="0" applyNumberFormat="0" applyBorder="0" applyAlignment="0" applyProtection="0"/>
    <xf numFmtId="0" fontId="59" fillId="23" borderId="0" applyNumberFormat="0" applyBorder="0" applyAlignment="0" applyProtection="0"/>
    <xf numFmtId="180" fontId="296" fillId="23" borderId="0" applyNumberFormat="0" applyBorder="0" applyAlignment="0" applyProtection="0"/>
    <xf numFmtId="180" fontId="59" fillId="82" borderId="0">
      <alignment vertical="center"/>
    </xf>
    <xf numFmtId="0" fontId="297" fillId="23" borderId="0" applyNumberFormat="0" applyBorder="0" applyAlignment="0" applyProtection="0"/>
    <xf numFmtId="0" fontId="298" fillId="0" borderId="0"/>
    <xf numFmtId="0" fontId="110" fillId="0" borderId="0"/>
    <xf numFmtId="0" fontId="269" fillId="0" borderId="36" applyFont="0" applyBorder="0"/>
    <xf numFmtId="37" fontId="299" fillId="0" borderId="0"/>
    <xf numFmtId="0" fontId="300" fillId="0" borderId="0"/>
    <xf numFmtId="310" fontId="291" fillId="0" borderId="0"/>
    <xf numFmtId="203" fontId="301" fillId="0" borderId="0">
      <alignment vertical="center"/>
    </xf>
    <xf numFmtId="203" fontId="301" fillId="0" borderId="0"/>
    <xf numFmtId="0" fontId="490" fillId="0" borderId="0"/>
    <xf numFmtId="0" fontId="60" fillId="0" borderId="0"/>
    <xf numFmtId="180" fontId="490" fillId="0" borderId="0"/>
    <xf numFmtId="180" fontId="17" fillId="0" borderId="0"/>
    <xf numFmtId="0" fontId="110" fillId="0" borderId="0">
      <alignment vertical="center"/>
    </xf>
    <xf numFmtId="180" fontId="123" fillId="0" borderId="0"/>
    <xf numFmtId="180" fontId="60" fillId="0" borderId="0">
      <alignment vertical="center"/>
    </xf>
    <xf numFmtId="0" fontId="123" fillId="0" borderId="0"/>
    <xf numFmtId="180" fontId="302" fillId="0" borderId="0" applyNumberFormat="0" applyFill="0" applyBorder="0" applyAlignment="0" applyProtection="0"/>
    <xf numFmtId="0" fontId="17" fillId="0" borderId="0">
      <alignment vertical="center"/>
    </xf>
    <xf numFmtId="0" fontId="85" fillId="0" borderId="0">
      <alignment vertical="center"/>
    </xf>
    <xf numFmtId="311" fontId="16" fillId="0" borderId="0">
      <alignment vertical="center"/>
    </xf>
    <xf numFmtId="311" fontId="16" fillId="0" borderId="0"/>
    <xf numFmtId="0" fontId="98" fillId="0" borderId="0"/>
    <xf numFmtId="0" fontId="17" fillId="0" borderId="0"/>
    <xf numFmtId="0" fontId="23" fillId="0" borderId="0">
      <alignment vertical="center"/>
    </xf>
    <xf numFmtId="312" fontId="28" fillId="0" borderId="0"/>
    <xf numFmtId="0" fontId="229" fillId="0" borderId="0"/>
    <xf numFmtId="0" fontId="88" fillId="0" borderId="0"/>
    <xf numFmtId="0" fontId="212" fillId="0" borderId="0"/>
    <xf numFmtId="0" fontId="154" fillId="0" borderId="0">
      <alignment vertical="center"/>
    </xf>
    <xf numFmtId="0" fontId="24" fillId="0" borderId="0" applyNumberFormat="0" applyFont="0" applyFill="0" applyBorder="0" applyAlignment="0" applyProtection="0"/>
    <xf numFmtId="0" fontId="75" fillId="0" borderId="0"/>
    <xf numFmtId="0" fontId="88" fillId="30" borderId="14" applyNumberFormat="0" applyFont="0" applyAlignment="0" applyProtection="0"/>
    <xf numFmtId="0" fontId="16" fillId="30" borderId="14" applyNumberFormat="0" applyFont="0" applyAlignment="0" applyProtection="0"/>
    <xf numFmtId="180" fontId="23" fillId="30" borderId="14" applyNumberFormat="0" applyFont="0" applyAlignment="0" applyProtection="0"/>
    <xf numFmtId="0" fontId="20" fillId="30" borderId="14" applyNumberFormat="0" applyFont="0" applyAlignment="0" applyProtection="0"/>
    <xf numFmtId="0" fontId="17" fillId="30" borderId="14" applyNumberFormat="0" applyFont="0" applyAlignment="0" applyProtection="0"/>
    <xf numFmtId="0" fontId="23" fillId="30" borderId="14" applyNumberFormat="0" applyFont="0" applyAlignment="0" applyProtection="0"/>
    <xf numFmtId="0" fontId="75" fillId="30" borderId="14" applyNumberFormat="0" applyFont="0" applyAlignment="0" applyProtection="0"/>
    <xf numFmtId="14" fontId="89" fillId="0" borderId="0" applyFont="0" applyFill="0" applyBorder="0" applyAlignment="0" applyProtection="0"/>
    <xf numFmtId="38" fontId="303" fillId="0" borderId="47" applyFont="0" applyFill="0" applyBorder="0" applyAlignment="0">
      <alignment horizontal="center"/>
    </xf>
    <xf numFmtId="313" fontId="20" fillId="0" borderId="0" applyFont="0" applyFill="0" applyBorder="0" applyAlignment="0" applyProtection="0"/>
    <xf numFmtId="189" fontId="291" fillId="0" borderId="0" applyFont="0" applyFill="0" applyBorder="0" applyAlignment="0" applyProtection="0"/>
    <xf numFmtId="314" fontId="291" fillId="0" borderId="0" applyFont="0" applyFill="0" applyBorder="0" applyAlignment="0" applyProtection="0"/>
    <xf numFmtId="0" fontId="304" fillId="0" borderId="0"/>
    <xf numFmtId="0" fontId="209" fillId="0" borderId="0"/>
    <xf numFmtId="0" fontId="305" fillId="26" borderId="24" applyNumberFormat="0" applyAlignment="0" applyProtection="0"/>
    <xf numFmtId="180" fontId="305" fillId="26" borderId="24" applyNumberFormat="0" applyAlignment="0" applyProtection="0"/>
    <xf numFmtId="180" fontId="169" fillId="24" borderId="24" applyNumberFormat="0" applyAlignment="0" applyProtection="0"/>
    <xf numFmtId="40" fontId="75" fillId="26" borderId="0">
      <alignment horizontal="right"/>
    </xf>
    <xf numFmtId="38" fontId="306" fillId="26" borderId="0">
      <alignment horizontal="right"/>
    </xf>
    <xf numFmtId="0" fontId="286" fillId="28" borderId="0">
      <alignment horizontal="right"/>
    </xf>
    <xf numFmtId="0" fontId="153" fillId="26" borderId="34"/>
    <xf numFmtId="0" fontId="152" fillId="0" borderId="0" applyBorder="0">
      <alignment horizontal="centerContinuous"/>
    </xf>
    <xf numFmtId="0" fontId="307" fillId="0" borderId="0" applyBorder="0">
      <alignment horizontal="centerContinuous"/>
    </xf>
    <xf numFmtId="0" fontId="57" fillId="26" borderId="0"/>
    <xf numFmtId="0" fontId="16" fillId="0" borderId="0">
      <alignment horizontal="center"/>
    </xf>
    <xf numFmtId="254" fontId="89" fillId="126" borderId="0" applyNumberFormat="0" applyFont="0" applyBorder="0" applyAlignment="0" applyProtection="0"/>
    <xf numFmtId="14" fontId="168" fillId="0" borderId="0">
      <alignment horizontal="center" wrapText="1"/>
      <protection locked="0"/>
    </xf>
    <xf numFmtId="279" fontId="16" fillId="0" borderId="0" applyFont="0" applyFill="0" applyBorder="0" applyAlignment="0" applyProtection="0"/>
    <xf numFmtId="267" fontId="123" fillId="0" borderId="0" applyFont="0" applyFill="0" applyBorder="0" applyAlignment="0" applyProtection="0">
      <alignment vertical="center"/>
    </xf>
    <xf numFmtId="267" fontId="23" fillId="0" borderId="0" applyFont="0" applyFill="0" applyBorder="0" applyAlignment="0" applyProtection="0">
      <alignment vertical="center"/>
    </xf>
    <xf numFmtId="315" fontId="16" fillId="0" borderId="0" applyFont="0" applyFill="0" applyBorder="0" applyAlignment="0" applyProtection="0"/>
    <xf numFmtId="274" fontId="123" fillId="0" borderId="0" applyFont="0" applyFill="0" applyBorder="0" applyAlignment="0" applyProtection="0">
      <alignment vertical="center"/>
    </xf>
    <xf numFmtId="274" fontId="23" fillId="0" borderId="0" applyFont="0" applyFill="0" applyBorder="0" applyAlignment="0" applyProtection="0">
      <alignment vertical="center"/>
    </xf>
    <xf numFmtId="10" fontId="123" fillId="0" borderId="0" applyFont="0" applyFill="0" applyBorder="0" applyAlignment="0" applyProtection="0">
      <alignment vertical="center"/>
    </xf>
    <xf numFmtId="10" fontId="2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15" fillId="0" borderId="3" applyNumberFormat="0" applyBorder="0"/>
    <xf numFmtId="0" fontId="218" fillId="0" borderId="0">
      <alignment horizontal="left" vertical="top" wrapText="1"/>
    </xf>
    <xf numFmtId="10" fontId="226" fillId="0" borderId="0" applyFont="0" applyFill="0" applyBorder="0" applyAlignment="0" applyProtection="0"/>
    <xf numFmtId="316" fontId="16" fillId="0" borderId="0" applyFont="0" applyFill="0" applyBorder="0" applyAlignment="0" applyProtection="0"/>
    <xf numFmtId="0" fontId="308" fillId="0" borderId="0" applyNumberFormat="0" applyFill="0" applyBorder="0" applyProtection="0">
      <alignment horizontal="right"/>
    </xf>
    <xf numFmtId="0" fontId="309" fillId="0" borderId="0" applyFill="0" applyBorder="0" applyAlignment="0"/>
    <xf numFmtId="4" fontId="147" fillId="0" borderId="0">
      <alignment horizontal="right"/>
    </xf>
    <xf numFmtId="0" fontId="310" fillId="0" borderId="0" applyNumberFormat="0" applyFill="0" applyBorder="0" applyAlignment="0" applyProtection="0"/>
    <xf numFmtId="4" fontId="16" fillId="0" borderId="0" applyFont="0" applyFill="0" applyBorder="0" applyProtection="0">
      <alignment horizontal="right"/>
    </xf>
    <xf numFmtId="317" fontId="16" fillId="0" borderId="0"/>
    <xf numFmtId="276" fontId="311" fillId="0" borderId="0"/>
    <xf numFmtId="260" fontId="311" fillId="0" borderId="0"/>
    <xf numFmtId="0" fontId="312" fillId="0" borderId="0" applyProtection="0"/>
    <xf numFmtId="9" fontId="37" fillId="0" borderId="0" applyFont="0" applyFill="0" applyBorder="0" applyAlignment="0" applyProtection="0">
      <alignment vertical="center"/>
    </xf>
    <xf numFmtId="9" fontId="16" fillId="0" borderId="0" applyNumberFormat="0" applyFill="0" applyBorder="0" applyAlignment="0" applyProtection="0"/>
    <xf numFmtId="0" fontId="15" fillId="0" borderId="0" applyNumberFormat="0" applyFont="0" applyFill="0" applyBorder="0" applyAlignment="0" applyProtection="0">
      <alignment horizontal="left"/>
    </xf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79" fillId="0" borderId="27">
      <alignment horizontal="center"/>
    </xf>
    <xf numFmtId="3" fontId="15" fillId="0" borderId="0" applyFont="0" applyFill="0" applyBorder="0" applyAlignment="0" applyProtection="0"/>
    <xf numFmtId="0" fontId="15" fillId="132" borderId="0" applyNumberFormat="0" applyFont="0" applyBorder="0" applyAlignment="0" applyProtection="0"/>
    <xf numFmtId="0" fontId="237" fillId="24" borderId="24" applyNumberFormat="0" applyAlignment="0" applyProtection="0">
      <alignment vertical="center"/>
    </xf>
    <xf numFmtId="0" fontId="154" fillId="0" borderId="0" applyNumberFormat="0" applyFont="0" applyFill="0" applyBorder="0" applyAlignment="0"/>
    <xf numFmtId="0" fontId="313" fillId="0" borderId="0"/>
    <xf numFmtId="0" fontId="314" fillId="133" borderId="0" applyNumberFormat="0" applyFont="0" applyBorder="0" applyAlignment="0">
      <alignment horizontal="center"/>
    </xf>
    <xf numFmtId="0" fontId="286" fillId="23" borderId="0">
      <alignment horizontal="center"/>
    </xf>
    <xf numFmtId="49" fontId="315" fillId="26" borderId="0">
      <alignment horizontal="center"/>
    </xf>
    <xf numFmtId="0" fontId="316" fillId="0" borderId="0">
      <alignment vertical="center"/>
    </xf>
    <xf numFmtId="0" fontId="317" fillId="0" borderId="0" applyNumberFormat="0" applyBorder="0" applyProtection="0">
      <alignment vertical="center"/>
    </xf>
    <xf numFmtId="0" fontId="318" fillId="0" borderId="0" applyNumberFormat="0" applyBorder="0" applyProtection="0">
      <alignment vertical="center"/>
    </xf>
    <xf numFmtId="318" fontId="316" fillId="0" borderId="0">
      <alignment vertical="center"/>
    </xf>
    <xf numFmtId="319" fontId="317" fillId="0" borderId="0" applyBorder="0" applyProtection="0">
      <alignment vertical="center"/>
    </xf>
    <xf numFmtId="318" fontId="318" fillId="0" borderId="0" applyBorder="0" applyProtection="0">
      <alignment vertical="center"/>
    </xf>
    <xf numFmtId="4" fontId="319" fillId="0" borderId="0">
      <alignment horizontal="right"/>
    </xf>
    <xf numFmtId="30" fontId="320" fillId="0" borderId="0" applyNumberFormat="0" applyFill="0" applyBorder="0" applyAlignment="0" applyProtection="0">
      <alignment horizontal="left"/>
    </xf>
    <xf numFmtId="320" fontId="320" fillId="0" borderId="0" applyNumberFormat="0" applyFill="0" applyBorder="0" applyAlignment="0" applyProtection="0">
      <alignment horizontal="left"/>
    </xf>
    <xf numFmtId="0" fontId="202" fillId="115" borderId="0">
      <alignment horizontal="center"/>
    </xf>
    <xf numFmtId="0" fontId="202" fillId="115" borderId="0">
      <alignment horizontal="centerContinuous"/>
    </xf>
    <xf numFmtId="0" fontId="321" fillId="26" borderId="0">
      <alignment horizontal="left"/>
    </xf>
    <xf numFmtId="49" fontId="321" fillId="26" borderId="0">
      <alignment horizontal="center"/>
    </xf>
    <xf numFmtId="49" fontId="321" fillId="26" borderId="0">
      <alignment horizontal="left"/>
    </xf>
    <xf numFmtId="0" fontId="174" fillId="115" borderId="0">
      <alignment horizontal="centerContinuous"/>
    </xf>
    <xf numFmtId="0" fontId="174" fillId="115" borderId="0">
      <alignment horizontal="right"/>
    </xf>
    <xf numFmtId="49" fontId="286" fillId="26" borderId="0">
      <alignment horizontal="left"/>
    </xf>
    <xf numFmtId="40" fontId="322" fillId="0" borderId="0" applyFont="0" applyFill="0" applyBorder="0" applyAlignment="0" applyProtection="0"/>
    <xf numFmtId="38" fontId="322" fillId="0" borderId="0" applyFont="0" applyFill="0" applyBorder="0" applyAlignment="0" applyProtection="0"/>
    <xf numFmtId="0" fontId="323" fillId="30" borderId="0" applyNumberFormat="0" applyBorder="0" applyAlignment="0">
      <protection locked="0"/>
    </xf>
    <xf numFmtId="186" fontId="323" fillId="30" borderId="33" applyBorder="0">
      <protection locked="0"/>
    </xf>
    <xf numFmtId="0" fontId="223" fillId="30" borderId="0" applyNumberFormat="0" applyBorder="0" applyAlignment="0">
      <protection locked="0"/>
    </xf>
    <xf numFmtId="3" fontId="323" fillId="30" borderId="33" applyBorder="0">
      <protection locked="0"/>
    </xf>
    <xf numFmtId="254" fontId="323" fillId="124" borderId="33" applyBorder="0">
      <protection locked="0"/>
    </xf>
    <xf numFmtId="0" fontId="321" fillId="25" borderId="0">
      <alignment horizontal="center"/>
    </xf>
    <xf numFmtId="0" fontId="148" fillId="25" borderId="0">
      <alignment horizontal="center"/>
    </xf>
    <xf numFmtId="4" fontId="286" fillId="23" borderId="48" applyNumberFormat="0" applyProtection="0">
      <alignment vertical="center"/>
    </xf>
    <xf numFmtId="4" fontId="324" fillId="23" borderId="48" applyNumberFormat="0" applyProtection="0">
      <alignment vertical="center"/>
    </xf>
    <xf numFmtId="4" fontId="286" fillId="23" borderId="48" applyNumberFormat="0" applyProtection="0">
      <alignment horizontal="left" vertical="center" indent="1"/>
    </xf>
    <xf numFmtId="0" fontId="286" fillId="23" borderId="48" applyNumberFormat="0" applyProtection="0">
      <alignment horizontal="left" vertical="top" indent="1"/>
    </xf>
    <xf numFmtId="4" fontId="286" fillId="134" borderId="0" applyNumberFormat="0" applyProtection="0">
      <alignment horizontal="left" vertical="center" indent="1"/>
    </xf>
    <xf numFmtId="0" fontId="16" fillId="42" borderId="24" applyNumberFormat="0" applyProtection="0">
      <alignment horizontal="left" vertical="center" indent="1"/>
    </xf>
    <xf numFmtId="4" fontId="75" fillId="22" borderId="48" applyNumberFormat="0" applyProtection="0">
      <alignment horizontal="right" vertical="center"/>
    </xf>
    <xf numFmtId="4" fontId="75" fillId="34" borderId="48" applyNumberFormat="0" applyProtection="0">
      <alignment horizontal="right" vertical="center"/>
    </xf>
    <xf numFmtId="4" fontId="75" fillId="106" borderId="48" applyNumberFormat="0" applyProtection="0">
      <alignment horizontal="right" vertical="center"/>
    </xf>
    <xf numFmtId="4" fontId="75" fillId="69" borderId="48" applyNumberFormat="0" applyProtection="0">
      <alignment horizontal="right" vertical="center"/>
    </xf>
    <xf numFmtId="4" fontId="75" fillId="80" borderId="48" applyNumberFormat="0" applyProtection="0">
      <alignment horizontal="right" vertical="center"/>
    </xf>
    <xf numFmtId="4" fontId="75" fillId="41" borderId="48" applyNumberFormat="0" applyProtection="0">
      <alignment horizontal="right" vertical="center"/>
    </xf>
    <xf numFmtId="4" fontId="75" fillId="108" borderId="48" applyNumberFormat="0" applyProtection="0">
      <alignment horizontal="right" vertical="center"/>
    </xf>
    <xf numFmtId="4" fontId="75" fillId="135" borderId="48" applyNumberFormat="0" applyProtection="0">
      <alignment horizontal="right" vertical="center"/>
    </xf>
    <xf numFmtId="4" fontId="75" fillId="68" borderId="48" applyNumberFormat="0" applyProtection="0">
      <alignment horizontal="right" vertical="center"/>
    </xf>
    <xf numFmtId="4" fontId="286" fillId="136" borderId="49" applyNumberFormat="0" applyProtection="0">
      <alignment horizontal="left" vertical="center" indent="1"/>
    </xf>
    <xf numFmtId="4" fontId="75" fillId="137" borderId="0" applyNumberFormat="0" applyProtection="0">
      <alignment horizontal="left" vertical="center" indent="1"/>
    </xf>
    <xf numFmtId="4" fontId="315" fillId="110" borderId="0" applyNumberFormat="0" applyProtection="0">
      <alignment horizontal="left" vertical="center" indent="1"/>
    </xf>
    <xf numFmtId="4" fontId="75" fillId="134" borderId="48" applyNumberFormat="0" applyProtection="0">
      <alignment horizontal="right" vertical="center"/>
    </xf>
    <xf numFmtId="4" fontId="75" fillId="134" borderId="0" applyNumberFormat="0" applyProtection="0">
      <alignment horizontal="left" vertical="center" indent="1"/>
    </xf>
    <xf numFmtId="0" fontId="16" fillId="110" borderId="48" applyNumberFormat="0" applyProtection="0">
      <alignment horizontal="left" vertical="center" indent="1"/>
    </xf>
    <xf numFmtId="0" fontId="16" fillId="110" borderId="48" applyNumberFormat="0" applyProtection="0">
      <alignment horizontal="left" vertical="top" indent="1"/>
    </xf>
    <xf numFmtId="0" fontId="16" fillId="134" borderId="48" applyNumberFormat="0" applyProtection="0">
      <alignment horizontal="left" vertical="center" indent="1"/>
    </xf>
    <xf numFmtId="0" fontId="16" fillId="134" borderId="48" applyNumberFormat="0" applyProtection="0">
      <alignment horizontal="left" vertical="top" indent="1"/>
    </xf>
    <xf numFmtId="0" fontId="16" fillId="29" borderId="48" applyNumberFormat="0" applyProtection="0">
      <alignment horizontal="left" vertical="center" indent="1"/>
    </xf>
    <xf numFmtId="0" fontId="16" fillId="29" borderId="48" applyNumberFormat="0" applyProtection="0">
      <alignment horizontal="left" vertical="top" indent="1"/>
    </xf>
    <xf numFmtId="0" fontId="16" fillId="137" borderId="48" applyNumberFormat="0" applyProtection="0">
      <alignment horizontal="left" vertical="center" indent="1"/>
    </xf>
    <xf numFmtId="0" fontId="16" fillId="137" borderId="48" applyNumberFormat="0" applyProtection="0">
      <alignment horizontal="left" vertical="top" indent="1"/>
    </xf>
    <xf numFmtId="4" fontId="75" fillId="30" borderId="48" applyNumberFormat="0" applyProtection="0">
      <alignment vertical="center"/>
    </xf>
    <xf numFmtId="4" fontId="325" fillId="30" borderId="48" applyNumberFormat="0" applyProtection="0">
      <alignment vertical="center"/>
    </xf>
    <xf numFmtId="4" fontId="75" fillId="30" borderId="48" applyNumberFormat="0" applyProtection="0">
      <alignment horizontal="left" vertical="center" indent="1"/>
    </xf>
    <xf numFmtId="0" fontId="75" fillId="30" borderId="48" applyNumberFormat="0" applyProtection="0">
      <alignment horizontal="left" vertical="top" indent="1"/>
    </xf>
    <xf numFmtId="4" fontId="75" fillId="138" borderId="24" applyNumberFormat="0" applyProtection="0">
      <alignment horizontal="right" vertical="center"/>
    </xf>
    <xf numFmtId="4" fontId="75" fillId="137" borderId="48" applyNumberFormat="0" applyProtection="0">
      <alignment horizontal="right" vertical="center"/>
    </xf>
    <xf numFmtId="4" fontId="325" fillId="137" borderId="48" applyNumberFormat="0" applyProtection="0">
      <alignment horizontal="right" vertical="center"/>
    </xf>
    <xf numFmtId="4" fontId="326" fillId="0" borderId="48" applyNumberFormat="0" applyProtection="0">
      <alignment horizontal="left" vertical="center" indent="1"/>
    </xf>
    <xf numFmtId="0" fontId="75" fillId="134" borderId="48" applyNumberFormat="0" applyProtection="0">
      <alignment horizontal="left" vertical="top" indent="1"/>
    </xf>
    <xf numFmtId="4" fontId="327" fillId="126" borderId="0" applyNumberFormat="0" applyProtection="0">
      <alignment horizontal="left" vertical="center" indent="1"/>
    </xf>
    <xf numFmtId="4" fontId="309" fillId="137" borderId="48" applyNumberFormat="0" applyProtection="0">
      <alignment horizontal="right" vertical="center"/>
    </xf>
    <xf numFmtId="0" fontId="256" fillId="0" borderId="0">
      <alignment horizontal="left"/>
    </xf>
    <xf numFmtId="0" fontId="328" fillId="139" borderId="50"/>
    <xf numFmtId="0" fontId="314" fillId="39" borderId="37" applyNumberFormat="0" applyFont="0" applyAlignment="0">
      <alignment horizont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/>
    <xf numFmtId="49" fontId="329" fillId="26" borderId="51" applyNumberFormat="0" applyProtection="0">
      <alignment horizontal="left" vertical="center" shrinkToFit="1"/>
    </xf>
    <xf numFmtId="0" fontId="330" fillId="0" borderId="0" applyProtection="0"/>
    <xf numFmtId="0" fontId="215" fillId="0" borderId="0" applyNumberFormat="0" applyFill="0" applyBorder="0" applyAlignment="0">
      <alignment horizontal="center"/>
    </xf>
    <xf numFmtId="38" fontId="209" fillId="0" borderId="0">
      <alignment vertical="center"/>
    </xf>
    <xf numFmtId="265" fontId="291" fillId="0" borderId="0">
      <alignment horizontal="center"/>
    </xf>
    <xf numFmtId="268" fontId="16" fillId="0" borderId="0">
      <alignment horizontal="center"/>
    </xf>
    <xf numFmtId="321" fontId="91" fillId="0" borderId="0">
      <alignment horizontal="center"/>
    </xf>
    <xf numFmtId="322" fontId="16" fillId="0" borderId="0">
      <alignment horizontal="center"/>
    </xf>
    <xf numFmtId="0" fontId="331" fillId="0" borderId="52" applyProtection="0">
      <alignment horizontal="center"/>
    </xf>
    <xf numFmtId="0" fontId="16" fillId="26" borderId="0">
      <alignment horizontal="left"/>
    </xf>
    <xf numFmtId="0" fontId="269" fillId="0" borderId="0" applyNumberFormat="0" applyFill="0" applyBorder="0" applyProtection="0">
      <alignment horizontal="right"/>
    </xf>
    <xf numFmtId="49" fontId="16" fillId="0" borderId="0" applyFill="0" applyBorder="0" applyAlignment="0" applyProtection="0"/>
    <xf numFmtId="14" fontId="89" fillId="26" borderId="1" applyAlignment="0" applyProtection="0"/>
    <xf numFmtId="0" fontId="89" fillId="26" borderId="1" applyNumberFormat="0" applyProtection="0">
      <alignment horizontal="left" wrapText="1"/>
    </xf>
    <xf numFmtId="14" fontId="89" fillId="140" borderId="1" applyAlignment="0" applyProtection="0"/>
    <xf numFmtId="0" fontId="89" fillId="140" borderId="1" applyNumberFormat="0" applyProtection="0">
      <alignment horizontal="left" wrapText="1"/>
    </xf>
    <xf numFmtId="0" fontId="16" fillId="26" borderId="0"/>
    <xf numFmtId="0" fontId="332" fillId="140" borderId="1" applyNumberFormat="0" applyProtection="0">
      <alignment wrapText="1"/>
    </xf>
    <xf numFmtId="14" fontId="333" fillId="140" borderId="1" applyAlignment="0" applyProtection="0"/>
    <xf numFmtId="0" fontId="333" fillId="140" borderId="1" applyNumberFormat="0" applyProtection="0">
      <alignment horizontal="left" wrapText="1"/>
    </xf>
    <xf numFmtId="14" fontId="333" fillId="0" borderId="1" applyFill="0" applyAlignment="0" applyProtection="0"/>
    <xf numFmtId="0" fontId="333" fillId="0" borderId="1" applyNumberFormat="0" applyFill="0" applyProtection="0">
      <alignment horizontal="left" wrapText="1"/>
    </xf>
    <xf numFmtId="0" fontId="334" fillId="0" borderId="1" applyNumberFormat="0" applyFill="0" applyProtection="0">
      <alignment wrapText="1"/>
    </xf>
    <xf numFmtId="0" fontId="334" fillId="140" borderId="1" applyNumberFormat="0" applyProtection="0">
      <alignment wrapText="1"/>
    </xf>
    <xf numFmtId="0" fontId="198" fillId="104" borderId="1" applyNumberFormat="0" applyProtection="0">
      <alignment horizontal="centerContinuous"/>
    </xf>
    <xf numFmtId="0" fontId="198" fillId="104" borderId="1" applyNumberFormat="0" applyProtection="0">
      <alignment horizontal="centerContinuous" textRotation="90"/>
    </xf>
    <xf numFmtId="0" fontId="198" fillId="104" borderId="1" applyNumberFormat="0" applyProtection="0">
      <alignment horizontal="left"/>
    </xf>
    <xf numFmtId="40" fontId="335" fillId="0" borderId="0" applyBorder="0">
      <alignment horizontal="right"/>
    </xf>
    <xf numFmtId="0" fontId="179" fillId="0" borderId="0"/>
    <xf numFmtId="265" fontId="320" fillId="0" borderId="0"/>
    <xf numFmtId="0" fontId="336" fillId="24" borderId="0" applyNumberFormat="0" applyBorder="0" applyAlignment="0">
      <alignment horizontal="center" vertical="center"/>
      <protection hidden="1"/>
    </xf>
    <xf numFmtId="323" fontId="336" fillId="24" borderId="0" applyNumberFormat="0" applyBorder="0" applyAlignment="0">
      <alignment horizontal="center" vertical="center"/>
      <protection hidden="1"/>
    </xf>
    <xf numFmtId="0" fontId="269" fillId="0" borderId="53">
      <alignment horizontal="center" vertical="center" wrapText="1"/>
      <protection locked="0"/>
    </xf>
    <xf numFmtId="0" fontId="337" fillId="0" borderId="0">
      <alignment vertical="center"/>
      <protection locked="0"/>
    </xf>
    <xf numFmtId="0" fontId="337" fillId="0" borderId="0">
      <protection locked="0"/>
    </xf>
    <xf numFmtId="0" fontId="337" fillId="0" borderId="0">
      <alignment vertical="center"/>
    </xf>
    <xf numFmtId="0" fontId="337" fillId="0" borderId="0"/>
    <xf numFmtId="0" fontId="338" fillId="30" borderId="53">
      <alignment horizontal="right" vertical="center" wrapText="1"/>
      <protection locked="0"/>
    </xf>
    <xf numFmtId="0" fontId="339" fillId="0" borderId="0">
      <alignment vertical="center"/>
    </xf>
    <xf numFmtId="0" fontId="339" fillId="0" borderId="0"/>
    <xf numFmtId="0" fontId="340" fillId="0" borderId="0">
      <alignment vertical="center"/>
      <protection locked="0"/>
    </xf>
    <xf numFmtId="0" fontId="340" fillId="0" borderId="0">
      <protection locked="0"/>
    </xf>
    <xf numFmtId="0" fontId="213" fillId="0" borderId="28"/>
    <xf numFmtId="0" fontId="341" fillId="0" borderId="0"/>
    <xf numFmtId="49" fontId="16" fillId="0" borderId="0" applyFont="0" applyFill="0" applyBorder="0" applyAlignment="0" applyProtection="0"/>
    <xf numFmtId="0" fontId="16" fillId="0" borderId="54" applyNumberFormat="0" applyFont="0" applyFill="0" applyBorder="0" applyProtection="0">
      <alignment horizontal="center" vertical="center" wrapText="1"/>
    </xf>
    <xf numFmtId="0" fontId="342" fillId="0" borderId="55" applyNumberFormat="0" applyFont="0" applyFill="0" applyBorder="0" applyProtection="0">
      <alignment horizontal="center" vertical="center" wrapText="1"/>
    </xf>
    <xf numFmtId="0" fontId="16" fillId="0" borderId="0" applyNumberFormat="0" applyFont="0" applyFill="0" applyBorder="0" applyProtection="0">
      <alignment horizontal="center" vertical="center" wrapText="1"/>
    </xf>
    <xf numFmtId="49" fontId="75" fillId="0" borderId="0" applyFill="0" applyBorder="0" applyAlignment="0"/>
    <xf numFmtId="49" fontId="75" fillId="0" borderId="0" applyFill="0" applyBorder="0" applyAlignment="0">
      <alignment vertical="center"/>
    </xf>
    <xf numFmtId="324" fontId="16" fillId="0" borderId="0" applyFill="0" applyBorder="0" applyAlignment="0">
      <alignment vertical="center"/>
    </xf>
    <xf numFmtId="325" fontId="16" fillId="0" borderId="0" applyFill="0" applyBorder="0" applyAlignment="0"/>
    <xf numFmtId="14" fontId="16" fillId="0" borderId="0" applyFill="0" applyBorder="0" applyAlignment="0">
      <alignment vertical="center"/>
    </xf>
    <xf numFmtId="326" fontId="16" fillId="0" borderId="0" applyFill="0" applyBorder="0" applyAlignment="0"/>
    <xf numFmtId="0" fontId="16" fillId="0" borderId="0" applyNumberFormat="0" applyFont="0" applyFill="0" applyBorder="0" applyProtection="0">
      <alignment horizontal="right"/>
    </xf>
    <xf numFmtId="0" fontId="269" fillId="0" borderId="0" applyNumberFormat="0" applyFont="0" applyFill="0" applyBorder="0" applyProtection="0">
      <alignment horizontal="left" vertical="center"/>
    </xf>
    <xf numFmtId="0" fontId="342" fillId="0" borderId="55" applyNumberFormat="0" applyFont="0" applyFill="0" applyBorder="0" applyProtection="0">
      <alignment horizontal="left" wrapText="1"/>
    </xf>
    <xf numFmtId="0" fontId="154" fillId="0" borderId="0">
      <alignment horizontal="centerContinuous" wrapText="1"/>
    </xf>
    <xf numFmtId="0" fontId="16" fillId="0" borderId="56" applyNumberFormat="0" applyFont="0" applyFill="0" applyBorder="0" applyProtection="0">
      <alignment horizontal="center" vertical="center" wrapText="1"/>
    </xf>
    <xf numFmtId="327" fontId="343" fillId="0" borderId="34" applyFont="0" applyFill="0" applyBorder="0" applyAlignment="0" applyProtection="0">
      <alignment horizontal="right"/>
    </xf>
    <xf numFmtId="0" fontId="344" fillId="0" borderId="0" applyFill="0" applyBorder="0" applyProtection="0">
      <alignment horizontal="left" vertical="top"/>
    </xf>
    <xf numFmtId="0" fontId="345" fillId="115" borderId="0"/>
    <xf numFmtId="0" fontId="346" fillId="115" borderId="0"/>
    <xf numFmtId="0" fontId="347" fillId="0" borderId="0" applyNumberFormat="0" applyFill="0" applyBorder="0" applyAlignment="0" applyProtection="0"/>
    <xf numFmtId="254" fontId="89" fillId="0" borderId="0" applyNumberFormat="0" applyFont="0" applyBorder="0" applyAlignment="0" applyProtection="0"/>
    <xf numFmtId="1" fontId="89" fillId="24" borderId="0" applyFont="0" applyBorder="0" applyAlignment="0" applyProtection="0"/>
    <xf numFmtId="0" fontId="16" fillId="0" borderId="57" applyNumberFormat="0" applyFont="0" applyFill="0" applyAlignment="0" applyProtection="0"/>
    <xf numFmtId="0" fontId="348" fillId="0" borderId="58" applyNumberFormat="0" applyFill="0" applyAlignment="0" applyProtection="0"/>
    <xf numFmtId="0" fontId="283" fillId="0" borderId="59"/>
    <xf numFmtId="0" fontId="349" fillId="0" borderId="59"/>
    <xf numFmtId="0" fontId="283" fillId="0" borderId="28"/>
    <xf numFmtId="0" fontId="349" fillId="0" borderId="28"/>
    <xf numFmtId="328" fontId="15" fillId="0" borderId="0" applyFont="0" applyFill="0" applyBorder="0" applyAlignment="0" applyProtection="0"/>
    <xf numFmtId="329" fontId="16" fillId="0" borderId="0" applyFont="0" applyFill="0" applyBorder="0" applyAlignment="0" applyProtection="0"/>
    <xf numFmtId="330" fontId="16" fillId="0" borderId="0" applyFont="0" applyFill="0" applyBorder="0" applyAlignment="0" applyProtection="0"/>
    <xf numFmtId="49" fontId="350" fillId="49" borderId="0">
      <alignment horizontal="left" vertical="center"/>
    </xf>
    <xf numFmtId="0" fontId="351" fillId="0" borderId="0" applyNumberFormat="0" applyFill="0" applyBorder="0" applyAlignment="0" applyProtection="0"/>
    <xf numFmtId="0" fontId="352" fillId="26" borderId="0"/>
    <xf numFmtId="0" fontId="91" fillId="0" borderId="0"/>
    <xf numFmtId="331" fontId="89" fillId="0" borderId="0"/>
    <xf numFmtId="0" fontId="89" fillId="141" borderId="0" applyNumberFormat="0" applyBorder="0" applyAlignment="0" applyProtection="0"/>
    <xf numFmtId="37" fontId="89" fillId="0" borderId="0"/>
    <xf numFmtId="0" fontId="353" fillId="141" borderId="0" applyNumberFormat="0" applyBorder="0" applyAlignment="0" applyProtection="0"/>
    <xf numFmtId="3" fontId="148" fillId="0" borderId="60" applyProtection="0"/>
    <xf numFmtId="332" fontId="110" fillId="0" borderId="0" applyNumberFormat="0">
      <alignment horizontal="center"/>
    </xf>
    <xf numFmtId="0" fontId="354" fillId="0" borderId="0">
      <alignment vertical="top"/>
    </xf>
    <xf numFmtId="0" fontId="355" fillId="26" borderId="0">
      <alignment horizontal="center"/>
    </xf>
    <xf numFmtId="49" fontId="158" fillId="0" borderId="0" applyNumberFormat="0" applyFont="0" applyFill="0" applyBorder="0" applyAlignment="0">
      <alignment horizontal="left" vertical="center"/>
    </xf>
    <xf numFmtId="333" fontId="16" fillId="0" borderId="0" applyFont="0" applyFill="0" applyBorder="0" applyAlignment="0" applyProtection="0"/>
    <xf numFmtId="0" fontId="16" fillId="28" borderId="61" applyNumberFormat="0" applyFont="0" applyBorder="0" applyAlignment="0">
      <alignment horizontal="left" vertical="top"/>
    </xf>
    <xf numFmtId="334" fontId="16" fillId="0" borderId="0" applyFont="0" applyFill="0" applyBorder="0" applyAlignment="0" applyProtection="0"/>
    <xf numFmtId="0" fontId="311" fillId="0" borderId="1">
      <alignment horizontal="center"/>
    </xf>
    <xf numFmtId="0" fontId="311" fillId="142" borderId="1">
      <alignment horizontal="center" vertical="center"/>
    </xf>
    <xf numFmtId="0" fontId="356" fillId="0" borderId="0" applyNumberFormat="0" applyFill="0" applyBorder="0" applyAlignment="0" applyProtection="0"/>
    <xf numFmtId="0" fontId="183" fillId="143" borderId="62" applyNumberFormat="0" applyAlignment="0" applyProtection="0"/>
    <xf numFmtId="2" fontId="226" fillId="0" borderId="0" applyFont="0" applyFill="0" applyBorder="0" applyAlignment="0" applyProtection="0"/>
    <xf numFmtId="0" fontId="357" fillId="0" borderId="0" applyNumberFormat="0" applyFill="0" applyBorder="0" applyProtection="0">
      <alignment horizontal="right"/>
    </xf>
    <xf numFmtId="250" fontId="110" fillId="0" borderId="0" applyFont="0" applyFill="0" applyBorder="0" applyAlignment="0" applyProtection="0"/>
    <xf numFmtId="37" fontId="110" fillId="0" borderId="0" applyFont="0" applyFill="0" applyBorder="0" applyAlignment="0" applyProtection="0"/>
    <xf numFmtId="0" fontId="173" fillId="22" borderId="11" applyNumberFormat="0" applyAlignment="0" applyProtection="0"/>
    <xf numFmtId="3" fontId="358" fillId="0" borderId="0"/>
    <xf numFmtId="0" fontId="169" fillId="22" borderId="24" applyNumberFormat="0" applyAlignment="0" applyProtection="0"/>
    <xf numFmtId="335" fontId="16" fillId="0" borderId="0" applyFont="0" applyFill="0" applyBorder="0" applyAlignment="0" applyProtection="0"/>
    <xf numFmtId="210" fontId="28" fillId="0" borderId="0" applyFont="0" applyFill="0" applyBorder="0" applyAlignment="0" applyProtection="0"/>
    <xf numFmtId="336" fontId="16" fillId="0" borderId="0" applyFont="0" applyFill="0" applyBorder="0" applyAlignment="0" applyProtection="0"/>
    <xf numFmtId="214" fontId="28" fillId="0" borderId="0" applyFont="0" applyFill="0" applyBorder="0" applyAlignment="0" applyProtection="0"/>
    <xf numFmtId="337" fontId="16" fillId="0" borderId="0" applyFont="0" applyFill="0" applyBorder="0" applyAlignment="0" applyProtection="0"/>
    <xf numFmtId="338" fontId="16" fillId="0" borderId="0" applyFont="0" applyFill="0" applyBorder="0" applyAlignment="0" applyProtection="0"/>
    <xf numFmtId="275" fontId="28" fillId="0" borderId="0" applyFont="0" applyFill="0" applyBorder="0" applyAlignment="0" applyProtection="0"/>
    <xf numFmtId="0" fontId="359" fillId="0" borderId="0" applyNumberFormat="0" applyFill="0" applyBorder="0" applyAlignment="0" applyProtection="0"/>
    <xf numFmtId="0" fontId="85" fillId="0" borderId="0" applyNumberFormat="0" applyFont="0" applyFill="0" applyBorder="0" applyProtection="0">
      <alignment horizontal="center" vertical="center" wrapText="1"/>
    </xf>
    <xf numFmtId="0" fontId="230" fillId="22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89" fillId="30" borderId="0"/>
    <xf numFmtId="339" fontId="28" fillId="0" borderId="0" applyFont="0" applyFill="0" applyBorder="0" applyAlignment="0" applyProtection="0"/>
    <xf numFmtId="340" fontId="28" fillId="0" borderId="0" applyFont="0" applyFill="0" applyBorder="0" applyAlignment="0" applyProtection="0"/>
    <xf numFmtId="341" fontId="19" fillId="0" borderId="0">
      <alignment horizontal="right"/>
    </xf>
    <xf numFmtId="298" fontId="28" fillId="0" borderId="0" applyFont="0" applyFill="0" applyBorder="0" applyAlignment="0" applyProtection="0"/>
    <xf numFmtId="1" fontId="218" fillId="0" borderId="0">
      <alignment horizontal="center" vertical="top"/>
    </xf>
    <xf numFmtId="0" fontId="133" fillId="110" borderId="0" applyNumberFormat="0" applyBorder="0" applyAlignment="0" applyProtection="0"/>
    <xf numFmtId="0" fontId="137" fillId="104" borderId="0" applyNumberFormat="0" applyBorder="0" applyAlignment="0" applyProtection="0">
      <alignment vertical="center"/>
    </xf>
    <xf numFmtId="0" fontId="137" fillId="106" borderId="0" applyNumberFormat="0" applyBorder="0" applyAlignment="0" applyProtection="0">
      <alignment vertical="center"/>
    </xf>
    <xf numFmtId="0" fontId="137" fillId="108" borderId="0" applyNumberFormat="0" applyBorder="0" applyAlignment="0" applyProtection="0">
      <alignment vertical="center"/>
    </xf>
    <xf numFmtId="0" fontId="137" fillId="41" borderId="0" applyNumberFormat="0" applyBorder="0" applyAlignment="0" applyProtection="0">
      <alignment vertical="center"/>
    </xf>
    <xf numFmtId="9" fontId="360" fillId="0" borderId="0" applyFont="0" applyFill="0" applyBorder="0" applyAlignment="0" applyProtection="0"/>
    <xf numFmtId="0" fontId="361" fillId="0" borderId="0" applyNumberFormat="0" applyFill="0" applyBorder="0" applyProtection="0">
      <alignment vertical="top"/>
    </xf>
    <xf numFmtId="0" fontId="362" fillId="113" borderId="25" applyNumberFormat="0" applyAlignment="0" applyProtection="0">
      <alignment vertical="center"/>
    </xf>
    <xf numFmtId="40" fontId="28" fillId="0" borderId="0" applyFont="0" applyFill="0" applyBorder="0" applyAlignment="0" applyProtection="0"/>
    <xf numFmtId="41" fontId="363" fillId="0" borderId="0" applyFont="0" applyFill="0" applyBorder="0" applyAlignment="0" applyProtection="0"/>
    <xf numFmtId="43" fontId="363" fillId="0" borderId="0" applyFont="0" applyFill="0" applyBorder="0" applyAlignment="0" applyProtection="0"/>
    <xf numFmtId="0" fontId="364" fillId="23" borderId="0" applyNumberFormat="0" applyBorder="0" applyAlignment="0" applyProtection="0">
      <alignment vertical="center"/>
    </xf>
    <xf numFmtId="196" fontId="363" fillId="0" borderId="0" applyFont="0" applyFill="0" applyBorder="0" applyAlignment="0" applyProtection="0"/>
    <xf numFmtId="195" fontId="363" fillId="0" borderId="0" applyFont="0" applyFill="0" applyBorder="0" applyAlignment="0" applyProtection="0"/>
    <xf numFmtId="0" fontId="363" fillId="0" borderId="0"/>
    <xf numFmtId="0" fontId="365" fillId="0" borderId="0" applyNumberFormat="0" applyFill="0" applyBorder="0" applyAlignment="0" applyProtection="0">
      <alignment vertical="top"/>
      <protection locked="0"/>
    </xf>
    <xf numFmtId="0" fontId="366" fillId="0" borderId="0" applyNumberFormat="0" applyFill="0" applyBorder="0" applyAlignment="0" applyProtection="0">
      <alignment vertical="top"/>
      <protection locked="0"/>
    </xf>
    <xf numFmtId="0" fontId="28" fillId="30" borderId="14" applyNumberFormat="0" applyFont="0" applyAlignment="0" applyProtection="0">
      <alignment vertical="center"/>
    </xf>
    <xf numFmtId="0" fontId="367" fillId="0" borderId="26" applyNumberFormat="0" applyFill="0" applyAlignment="0" applyProtection="0">
      <alignment vertical="center"/>
    </xf>
    <xf numFmtId="239" fontId="16" fillId="0" borderId="0" applyFill="0" applyBorder="0" applyAlignment="0" applyProtection="0"/>
    <xf numFmtId="178" fontId="368" fillId="0" borderId="0" applyFont="0" applyFill="0" applyBorder="0" applyAlignment="0" applyProtection="0"/>
    <xf numFmtId="0" fontId="369" fillId="0" borderId="0" applyFont="0" applyFill="0" applyBorder="0" applyAlignment="0" applyProtection="0"/>
    <xf numFmtId="0" fontId="370" fillId="0" borderId="0" applyNumberFormat="0" applyFill="0" applyBorder="0" applyAlignment="0" applyProtection="0">
      <alignment vertical="top"/>
      <protection locked="0"/>
    </xf>
    <xf numFmtId="0" fontId="371" fillId="0" borderId="0"/>
    <xf numFmtId="0" fontId="372" fillId="0" borderId="0" applyNumberFormat="0" applyFill="0" applyBorder="0" applyAlignment="0" applyProtection="0">
      <alignment vertical="top"/>
      <protection locked="0"/>
    </xf>
    <xf numFmtId="0" fontId="373" fillId="0" borderId="0"/>
    <xf numFmtId="194" fontId="374" fillId="0" borderId="0" applyFont="0" applyFill="0" applyBorder="0" applyAlignment="0" applyProtection="0"/>
    <xf numFmtId="192" fontId="19" fillId="0" borderId="0" applyFont="0" applyFill="0" applyBorder="0" applyAlignment="0" applyProtection="0"/>
    <xf numFmtId="194" fontId="374" fillId="0" borderId="0" applyFont="0" applyFill="0" applyBorder="0" applyAlignment="0" applyProtection="0">
      <alignment vertical="center"/>
    </xf>
    <xf numFmtId="0" fontId="154" fillId="0" borderId="0"/>
    <xf numFmtId="0" fontId="74" fillId="0" borderId="55" applyNumberFormat="0" applyFont="0">
      <alignment horizontal="center" vertical="center"/>
    </xf>
    <xf numFmtId="9" fontId="30" fillId="0" borderId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0" fontId="375" fillId="0" borderId="1" applyNumberFormat="0" applyBorder="0" applyAlignment="0">
      <alignment horizontal="center"/>
    </xf>
    <xf numFmtId="0" fontId="20" fillId="30" borderId="14" applyNumberFormat="0" applyFont="0" applyAlignment="0" applyProtection="0">
      <alignment vertical="center"/>
    </xf>
    <xf numFmtId="0" fontId="23" fillId="21" borderId="14" applyNumberFormat="0" applyProtection="0">
      <alignment vertical="center"/>
    </xf>
    <xf numFmtId="0" fontId="60" fillId="30" borderId="14" applyNumberFormat="0" applyFont="0" applyAlignment="0" applyProtection="0">
      <alignment vertical="center"/>
    </xf>
    <xf numFmtId="0" fontId="17" fillId="30" borderId="14" applyNumberFormat="0" applyFont="0" applyAlignment="0" applyProtection="0">
      <alignment vertical="center"/>
    </xf>
    <xf numFmtId="0" fontId="23" fillId="30" borderId="14" applyNumberFormat="0" applyFont="0" applyAlignment="0" applyProtection="0">
      <alignment vertical="center"/>
    </xf>
    <xf numFmtId="0" fontId="376" fillId="0" borderId="0" applyNumberFormat="0" applyFill="0" applyBorder="0" applyAlignment="0" applyProtection="0">
      <alignment vertical="top"/>
      <protection locked="0"/>
    </xf>
    <xf numFmtId="0" fontId="377" fillId="0" borderId="0" applyNumberFormat="0" applyFill="0" applyBorder="0" applyAlignment="0" applyProtection="0">
      <alignment vertical="top"/>
      <protection locked="0"/>
    </xf>
    <xf numFmtId="0" fontId="264" fillId="0" borderId="13" applyNumberFormat="0" applyFill="0" applyProtection="0">
      <alignment vertical="center"/>
    </xf>
    <xf numFmtId="0" fontId="11" fillId="0" borderId="39" applyNumberFormat="0" applyFill="0" applyAlignment="0" applyProtection="0">
      <alignment vertical="center"/>
    </xf>
    <xf numFmtId="0" fontId="263" fillId="0" borderId="13" applyNumberFormat="0" applyFill="0" applyAlignment="0" applyProtection="0">
      <alignment vertical="center"/>
    </xf>
    <xf numFmtId="0" fontId="378" fillId="0" borderId="38" applyNumberFormat="0" applyFill="0" applyAlignment="0" applyProtection="0">
      <alignment vertical="center"/>
    </xf>
    <xf numFmtId="0" fontId="379" fillId="0" borderId="0" applyNumberFormat="0" applyFill="0" applyBorder="0" applyAlignment="0" applyProtection="0">
      <alignment vertical="center"/>
    </xf>
    <xf numFmtId="0" fontId="380" fillId="0" borderId="0" applyNumberFormat="0" applyFill="0" applyBorder="0" applyAlignment="0" applyProtection="0">
      <alignment vertical="center"/>
    </xf>
    <xf numFmtId="0" fontId="381" fillId="0" borderId="0" applyNumberFormat="0" applyFill="0" applyBorder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266" fillId="0" borderId="40" applyNumberFormat="0" applyFill="0" applyAlignment="0" applyProtection="0">
      <alignment vertical="center"/>
    </xf>
    <xf numFmtId="0" fontId="267" fillId="0" borderId="40" applyNumberFormat="0" applyFill="0" applyProtection="0">
      <alignment vertical="center"/>
    </xf>
    <xf numFmtId="0" fontId="382" fillId="0" borderId="40" applyNumberFormat="0" applyFill="0" applyAlignment="0" applyProtection="0">
      <alignment vertical="center"/>
    </xf>
    <xf numFmtId="0" fontId="383" fillId="0" borderId="43" applyNumberFormat="0" applyFill="0" applyAlignment="0" applyProtection="0">
      <alignment vertical="center"/>
    </xf>
    <xf numFmtId="0" fontId="13" fillId="0" borderId="44" applyNumberFormat="0" applyFill="0" applyAlignment="0" applyProtection="0">
      <alignment vertical="center"/>
    </xf>
    <xf numFmtId="0" fontId="222" fillId="0" borderId="43" applyNumberFormat="0" applyFill="0" applyAlignment="0" applyProtection="0">
      <alignment vertical="center"/>
    </xf>
    <xf numFmtId="0" fontId="383" fillId="0" borderId="43" applyNumberFormat="0" applyFill="0" applyProtection="0">
      <alignment vertical="center"/>
    </xf>
    <xf numFmtId="0" fontId="384" fillId="0" borderId="42" applyNumberFormat="0" applyFill="0" applyAlignment="0" applyProtection="0">
      <alignment vertical="center"/>
    </xf>
    <xf numFmtId="0" fontId="383" fillId="0" borderId="0" applyNumberFormat="0" applyFill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383" fillId="0" borderId="0" applyNumberFormat="0" applyFill="0" applyBorder="0" applyProtection="0">
      <alignment vertical="center"/>
    </xf>
    <xf numFmtId="0" fontId="384" fillId="0" borderId="0" applyNumberFormat="0" applyFill="0" applyBorder="0" applyAlignment="0" applyProtection="0">
      <alignment vertical="center"/>
    </xf>
    <xf numFmtId="0" fontId="379" fillId="0" borderId="0" applyNumberFormat="0" applyFill="0" applyBorder="0" applyProtection="0">
      <alignment vertical="center"/>
    </xf>
    <xf numFmtId="0" fontId="347" fillId="0" borderId="0" applyNumberFormat="0" applyFill="0" applyBorder="0" applyAlignment="0" applyProtection="0">
      <alignment vertical="center"/>
    </xf>
    <xf numFmtId="0" fontId="262" fillId="0" borderId="38" applyNumberFormat="0" applyFill="0" applyAlignment="0" applyProtection="0">
      <alignment vertical="center"/>
    </xf>
    <xf numFmtId="0" fontId="385" fillId="0" borderId="39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65" fillId="0" borderId="40" applyNumberFormat="0" applyFill="0" applyAlignment="0" applyProtection="0">
      <alignment vertical="center"/>
    </xf>
    <xf numFmtId="0" fontId="233" fillId="0" borderId="40" applyNumberFormat="0" applyFill="0" applyAlignment="0" applyProtection="0">
      <alignment vertical="center"/>
    </xf>
    <xf numFmtId="0" fontId="386" fillId="0" borderId="41" applyNumberFormat="0" applyFill="0" applyAlignment="0" applyProtection="0">
      <alignment vertical="center"/>
    </xf>
    <xf numFmtId="0" fontId="268" fillId="0" borderId="42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87" fillId="0" borderId="44" applyNumberFormat="0" applyFill="0" applyAlignment="0" applyProtection="0">
      <alignment vertical="center"/>
    </xf>
    <xf numFmtId="0" fontId="268" fillId="0" borderId="0" applyNumberFormat="0" applyFill="0" applyBorder="0" applyAlignment="0" applyProtection="0">
      <alignment vertical="center"/>
    </xf>
    <xf numFmtId="0" fontId="38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Protection="0">
      <alignment vertical="center"/>
    </xf>
    <xf numFmtId="3" fontId="88" fillId="0" borderId="0" applyFont="0" applyFill="0" applyBorder="0" applyAlignment="0" applyProtection="0"/>
    <xf numFmtId="0" fontId="88" fillId="0" borderId="1" applyFont="0" applyFill="0" applyBorder="0" applyAlignment="0" applyProtection="0"/>
    <xf numFmtId="284" fontId="28" fillId="0" borderId="0">
      <alignment vertical="center"/>
    </xf>
    <xf numFmtId="234" fontId="28" fillId="0" borderId="0" applyFill="0" applyBorder="0" applyProtection="0">
      <alignment vertical="center"/>
    </xf>
    <xf numFmtId="0" fontId="29" fillId="0" borderId="0"/>
    <xf numFmtId="0" fontId="388" fillId="0" borderId="0" applyNumberFormat="0" applyFill="0" applyBorder="0" applyAlignment="0" applyProtection="0">
      <alignment vertical="top"/>
      <protection locked="0"/>
    </xf>
    <xf numFmtId="0" fontId="389" fillId="0" borderId="0" applyNumberFormat="0" applyFill="0" applyBorder="0" applyAlignment="0" applyProtection="0">
      <alignment vertical="top"/>
      <protection locked="0"/>
    </xf>
    <xf numFmtId="2" fontId="390" fillId="0" borderId="0" applyFont="0" applyFill="0" applyBorder="0" applyAlignment="0" applyProtection="0"/>
    <xf numFmtId="0" fontId="391" fillId="0" borderId="0" applyNumberFormat="0" applyFill="0" applyBorder="0" applyAlignment="0" applyProtection="0"/>
    <xf numFmtId="0" fontId="392" fillId="0" borderId="0" applyNumberFormat="0" applyFill="0" applyBorder="0" applyAlignment="0" applyProtection="0"/>
    <xf numFmtId="0" fontId="393" fillId="7" borderId="0" applyNumberFormat="0" applyBorder="0" applyAlignment="0" applyProtection="0">
      <alignment vertical="center"/>
    </xf>
    <xf numFmtId="0" fontId="172" fillId="22" borderId="0" applyNumberFormat="0" applyBorder="0" applyAlignment="0" applyProtection="0">
      <alignment vertical="center"/>
    </xf>
    <xf numFmtId="0" fontId="31" fillId="22" borderId="0" applyNumberFormat="0" applyBorder="0" applyProtection="0">
      <alignment vertical="center"/>
    </xf>
    <xf numFmtId="0" fontId="394" fillId="22" borderId="0" applyNumberFormat="0" applyBorder="0" applyAlignment="0" applyProtection="0">
      <alignment vertical="center"/>
    </xf>
    <xf numFmtId="0" fontId="171" fillId="45" borderId="0" applyNumberFormat="0" applyBorder="0" applyAlignment="0" applyProtection="0"/>
    <xf numFmtId="0" fontId="171" fillId="45" borderId="0" applyNumberFormat="0" applyBorder="0" applyProtection="0">
      <alignment vertical="center"/>
    </xf>
    <xf numFmtId="0" fontId="31" fillId="45" borderId="0" applyNumberFormat="0" applyBorder="0" applyProtection="0">
      <alignment vertical="center"/>
    </xf>
    <xf numFmtId="0" fontId="31" fillId="45" borderId="0" applyNumberFormat="0" applyBorder="0" applyAlignment="0" applyProtection="0"/>
    <xf numFmtId="0" fontId="17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95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96" fillId="7" borderId="0" applyNumberFormat="0" applyBorder="0" applyAlignment="0" applyProtection="0">
      <alignment vertical="center"/>
    </xf>
    <xf numFmtId="0" fontId="123" fillId="0" borderId="0">
      <alignment vertical="center"/>
    </xf>
    <xf numFmtId="342" fontId="128" fillId="0" borderId="0"/>
    <xf numFmtId="0" fontId="130" fillId="0" borderId="0">
      <alignment vertical="center"/>
    </xf>
    <xf numFmtId="0" fontId="19" fillId="0" borderId="0">
      <alignment vertical="center"/>
    </xf>
    <xf numFmtId="188" fontId="86" fillId="0" borderId="0"/>
    <xf numFmtId="0" fontId="397" fillId="0" borderId="0"/>
    <xf numFmtId="0" fontId="398" fillId="0" borderId="0">
      <alignment vertical="center"/>
    </xf>
    <xf numFmtId="291" fontId="23" fillId="0" borderId="0">
      <alignment vertical="center"/>
    </xf>
    <xf numFmtId="291" fontId="23" fillId="0" borderId="0"/>
    <xf numFmtId="0" fontId="399" fillId="0" borderId="0"/>
    <xf numFmtId="343" fontId="490" fillId="0" borderId="0"/>
    <xf numFmtId="0" fontId="400" fillId="0" borderId="0" applyNumberFormat="0" applyFill="0" applyBorder="0" applyAlignment="0" applyProtection="0">
      <alignment vertical="top"/>
      <protection locked="0"/>
    </xf>
    <xf numFmtId="0" fontId="401" fillId="0" borderId="0" applyNumberFormat="0" applyFill="0" applyBorder="0" applyAlignment="0" applyProtection="0">
      <alignment vertical="top"/>
      <protection locked="0"/>
    </xf>
    <xf numFmtId="0" fontId="402" fillId="0" borderId="0" applyNumberFormat="0" applyFill="0" applyBorder="0" applyAlignment="0" applyProtection="0">
      <alignment vertical="top"/>
      <protection locked="0"/>
    </xf>
    <xf numFmtId="0" fontId="403" fillId="0" borderId="0" applyNumberFormat="0" applyFill="0" applyBorder="0" applyAlignment="0" applyProtection="0">
      <alignment vertical="top"/>
      <protection locked="0"/>
    </xf>
    <xf numFmtId="0" fontId="404" fillId="0" borderId="0" applyNumberFormat="0" applyFill="0" applyBorder="0" applyAlignment="0" applyProtection="0"/>
    <xf numFmtId="0" fontId="401" fillId="0" borderId="0" applyNumberFormat="0" applyFill="0" applyBorder="0" applyAlignment="0" applyProtection="0">
      <alignment vertical="center"/>
    </xf>
    <xf numFmtId="0" fontId="405" fillId="0" borderId="0" applyNumberFormat="0" applyFill="0" applyBorder="0" applyAlignment="0" applyProtection="0">
      <alignment vertical="top"/>
      <protection locked="0"/>
    </xf>
    <xf numFmtId="0" fontId="403" fillId="0" borderId="0" applyNumberFormat="0" applyFill="0" applyBorder="0" applyProtection="0">
      <alignment vertical="center"/>
    </xf>
    <xf numFmtId="0" fontId="406" fillId="0" borderId="0" applyNumberFormat="0" applyFill="0" applyBorder="0" applyAlignment="0" applyProtection="0">
      <alignment vertical="center"/>
    </xf>
    <xf numFmtId="0" fontId="73" fillId="24" borderId="11" applyNumberFormat="0" applyAlignment="0" applyProtection="0">
      <alignment vertical="center"/>
    </xf>
    <xf numFmtId="0" fontId="407" fillId="24" borderId="24" applyNumberFormat="0" applyAlignment="0" applyProtection="0">
      <alignment vertical="center"/>
    </xf>
    <xf numFmtId="0" fontId="408" fillId="0" borderId="0">
      <alignment vertical="center"/>
    </xf>
    <xf numFmtId="0" fontId="80" fillId="106" borderId="0" applyNumberFormat="0" applyBorder="0" applyAlignment="0" applyProtection="0">
      <alignment vertical="center"/>
    </xf>
    <xf numFmtId="0" fontId="235" fillId="0" borderId="26" applyNumberFormat="0" applyFill="0" applyAlignment="0" applyProtection="0">
      <alignment vertical="center"/>
    </xf>
    <xf numFmtId="0" fontId="409" fillId="22" borderId="0" applyNumberFormat="0" applyBorder="0" applyAlignment="0" applyProtection="0">
      <alignment vertical="center"/>
    </xf>
    <xf numFmtId="0" fontId="80" fillId="104" borderId="0" applyNumberFormat="0" applyBorder="0" applyAlignment="0" applyProtection="0">
      <alignment vertical="center"/>
    </xf>
    <xf numFmtId="0" fontId="139" fillId="9" borderId="0" applyNumberFormat="0" applyBorder="0" applyAlignment="0" applyProtection="0">
      <alignment vertical="center"/>
    </xf>
    <xf numFmtId="0" fontId="140" fillId="9" borderId="0" applyNumberFormat="0" applyBorder="0" applyAlignment="0" applyProtection="0">
      <alignment vertical="center"/>
    </xf>
    <xf numFmtId="0" fontId="141" fillId="144" borderId="0" applyNumberFormat="0" applyBorder="0" applyProtection="0">
      <alignment vertical="center"/>
    </xf>
    <xf numFmtId="0" fontId="54" fillId="104" borderId="0" applyNumberFormat="0" applyBorder="0" applyAlignment="0" applyProtection="0">
      <alignment vertical="center"/>
    </xf>
    <xf numFmtId="0" fontId="141" fillId="104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1" fillId="145" borderId="0" applyNumberFormat="0" applyBorder="0" applyProtection="0">
      <alignment vertical="center"/>
    </xf>
    <xf numFmtId="0" fontId="54" fillId="106" borderId="0" applyNumberFormat="0" applyBorder="0" applyAlignment="0" applyProtection="0">
      <alignment vertical="center"/>
    </xf>
    <xf numFmtId="0" fontId="141" fillId="106" borderId="0" applyNumberFormat="0" applyBorder="0" applyAlignment="0" applyProtection="0">
      <alignment vertical="center"/>
    </xf>
    <xf numFmtId="0" fontId="80" fillId="108" borderId="0" applyNumberFormat="0" applyBorder="0" applyAlignment="0" applyProtection="0">
      <alignment vertical="center"/>
    </xf>
    <xf numFmtId="0" fontId="139" fillId="13" borderId="0" applyNumberFormat="0" applyBorder="0" applyAlignment="0" applyProtection="0">
      <alignment vertical="center"/>
    </xf>
    <xf numFmtId="0" fontId="140" fillId="13" borderId="0" applyNumberFormat="0" applyBorder="0" applyAlignment="0" applyProtection="0">
      <alignment vertical="center"/>
    </xf>
    <xf numFmtId="0" fontId="141" fillId="146" borderId="0" applyNumberFormat="0" applyBorder="0" applyProtection="0">
      <alignment vertical="center"/>
    </xf>
    <xf numFmtId="0" fontId="54" fillId="108" borderId="0" applyNumberFormat="0" applyBorder="0" applyAlignment="0" applyProtection="0">
      <alignment vertical="center"/>
    </xf>
    <xf numFmtId="0" fontId="141" fillId="108" borderId="0" applyNumberFormat="0" applyBorder="0" applyAlignment="0" applyProtection="0">
      <alignment vertical="center"/>
    </xf>
    <xf numFmtId="0" fontId="80" fillId="110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39" fillId="17" borderId="0" applyNumberFormat="0" applyBorder="0" applyAlignment="0" applyProtection="0">
      <alignment vertical="center"/>
    </xf>
    <xf numFmtId="0" fontId="140" fillId="17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1" fillId="147" borderId="0" applyNumberFormat="0" applyBorder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141" fillId="41" borderId="0" applyNumberFormat="0" applyBorder="0" applyAlignment="0" applyProtection="0">
      <alignment vertical="center"/>
    </xf>
    <xf numFmtId="0" fontId="390" fillId="0" borderId="0" applyFont="0" applyFill="0" applyBorder="0" applyAlignment="0" applyProtection="0"/>
    <xf numFmtId="0" fontId="410" fillId="6" borderId="0" applyNumberFormat="0" applyBorder="0" applyAlignment="0" applyProtection="0">
      <alignment vertical="center"/>
    </xf>
    <xf numFmtId="0" fontId="411" fillId="6" borderId="0" applyNumberFormat="0" applyBorder="0" applyAlignment="0" applyProtection="0">
      <alignment vertical="center"/>
    </xf>
    <xf numFmtId="0" fontId="232" fillId="46" borderId="0" applyNumberFormat="0" applyBorder="0" applyAlignment="0" applyProtection="0"/>
    <xf numFmtId="0" fontId="232" fillId="46" borderId="0" applyNumberFormat="0" applyBorder="0" applyProtection="0">
      <alignment vertical="center"/>
    </xf>
    <xf numFmtId="0" fontId="412" fillId="148" borderId="0" applyNumberFormat="0" applyBorder="0" applyAlignment="0" applyProtection="0"/>
    <xf numFmtId="0" fontId="181" fillId="46" borderId="0" applyNumberFormat="0" applyBorder="0" applyAlignment="0" applyProtection="0"/>
    <xf numFmtId="0" fontId="181" fillId="46" borderId="0" applyNumberFormat="0" applyBorder="0" applyProtection="0">
      <alignment vertical="center"/>
    </xf>
    <xf numFmtId="0" fontId="413" fillId="28" borderId="0" applyNumberFormat="0" applyBorder="0" applyAlignment="0" applyProtection="0"/>
    <xf numFmtId="0" fontId="58" fillId="46" borderId="0" applyNumberFormat="0" applyBorder="0" applyProtection="0">
      <alignment vertical="center"/>
    </xf>
    <xf numFmtId="0" fontId="58" fillId="46" borderId="0" applyNumberFormat="0" applyBorder="0" applyAlignment="0" applyProtection="0"/>
    <xf numFmtId="0" fontId="181" fillId="27" borderId="0" applyNumberFormat="0" applyBorder="0" applyAlignment="0" applyProtection="0"/>
    <xf numFmtId="0" fontId="181" fillId="28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6" fillId="6" borderId="0" applyNumberFormat="0" applyBorder="0" applyAlignment="0" applyProtection="0">
      <alignment vertical="center"/>
    </xf>
    <xf numFmtId="0" fontId="254" fillId="46" borderId="0" applyNumberFormat="0" applyBorder="0" applyAlignment="0" applyProtection="0"/>
    <xf numFmtId="0" fontId="254" fillId="46" borderId="0" applyNumberFormat="0" applyBorder="0" applyProtection="0">
      <alignment vertical="center"/>
    </xf>
    <xf numFmtId="0" fontId="417" fillId="46" borderId="0" applyNumberFormat="0" applyBorder="0" applyAlignment="0" applyProtection="0"/>
    <xf numFmtId="0" fontId="418" fillId="28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232" fillId="28" borderId="0" applyProtection="0"/>
    <xf numFmtId="0" fontId="58" fillId="28" borderId="0" applyNumberFormat="0" applyBorder="0" applyAlignment="0" applyProtection="0"/>
    <xf numFmtId="0" fontId="420" fillId="28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Protection="0">
      <alignment vertical="center"/>
    </xf>
    <xf numFmtId="0" fontId="232" fillId="28" borderId="0" applyNumberFormat="0" applyBorder="0" applyProtection="0">
      <alignment vertical="center"/>
    </xf>
    <xf numFmtId="0" fontId="420" fillId="46" borderId="0" applyNumberFormat="0" applyBorder="0" applyAlignment="0" applyProtection="0"/>
    <xf numFmtId="0" fontId="420" fillId="46" borderId="0" applyNumberFormat="0" applyBorder="0" applyProtection="0">
      <alignment vertical="center"/>
    </xf>
    <xf numFmtId="0" fontId="419" fillId="46" borderId="0" applyNumberFormat="0" applyBorder="0" applyProtection="0">
      <alignment vertical="center"/>
    </xf>
    <xf numFmtId="0" fontId="421" fillId="6" borderId="0" applyNumberFormat="0" applyBorder="0" applyAlignment="0" applyProtection="0">
      <alignment vertical="center"/>
    </xf>
    <xf numFmtId="0" fontId="237" fillId="0" borderId="58" applyNumberFormat="0" applyFill="0" applyAlignment="0" applyProtection="0">
      <alignment vertical="center"/>
    </xf>
    <xf numFmtId="0" fontId="422" fillId="0" borderId="10" applyNumberFormat="0" applyFill="0" applyAlignment="0" applyProtection="0">
      <alignment vertical="center"/>
    </xf>
    <xf numFmtId="0" fontId="423" fillId="0" borderId="12" applyNumberFormat="0" applyFill="0" applyProtection="0">
      <alignment vertical="center"/>
    </xf>
    <xf numFmtId="0" fontId="72" fillId="0" borderId="63" applyFont="0" applyFill="0" applyBorder="0" applyAlignment="0" applyProtection="0"/>
    <xf numFmtId="220" fontId="27" fillId="0" borderId="0" applyFill="0" applyBorder="0" applyAlignment="0" applyProtection="0"/>
    <xf numFmtId="344" fontId="27" fillId="0" borderId="0" applyFill="0" applyBorder="0" applyAlignment="0" applyProtection="0"/>
    <xf numFmtId="0" fontId="424" fillId="7" borderId="0" applyNumberFormat="0" applyBorder="0" applyAlignment="0" applyProtection="0">
      <alignment vertical="center"/>
    </xf>
    <xf numFmtId="0" fontId="394" fillId="45" borderId="0" applyNumberFormat="0" applyBorder="0" applyProtection="0">
      <alignment vertical="center"/>
    </xf>
    <xf numFmtId="0" fontId="230" fillId="45" borderId="0" applyNumberFormat="0" applyBorder="0" applyAlignment="0" applyProtection="0"/>
    <xf numFmtId="0" fontId="230" fillId="45" borderId="0" applyNumberFormat="0" applyBorder="0" applyProtection="0">
      <alignment vertical="center"/>
    </xf>
    <xf numFmtId="0" fontId="172" fillId="45" borderId="0" applyNumberFormat="0" applyBorder="0" applyAlignment="0" applyProtection="0"/>
    <xf numFmtId="0" fontId="172" fillId="45" borderId="0" applyNumberFormat="0" applyBorder="0" applyProtection="0">
      <alignment vertical="center"/>
    </xf>
    <xf numFmtId="0" fontId="425" fillId="22" borderId="0" applyNumberFormat="0" applyBorder="0" applyAlignment="0" applyProtection="0"/>
    <xf numFmtId="0" fontId="172" fillId="43" borderId="0" applyNumberFormat="0" applyBorder="0" applyAlignment="0" applyProtection="0"/>
    <xf numFmtId="0" fontId="426" fillId="22" borderId="0" applyNumberFormat="0" applyBorder="0" applyAlignment="0" applyProtection="0">
      <alignment vertical="center"/>
    </xf>
    <xf numFmtId="0" fontId="427" fillId="7" borderId="0" applyNumberFormat="0" applyBorder="0" applyAlignment="0" applyProtection="0">
      <alignment vertical="center"/>
    </xf>
    <xf numFmtId="0" fontId="428" fillId="149" borderId="0" applyNumberFormat="0" applyBorder="0" applyAlignment="0" applyProtection="0"/>
    <xf numFmtId="0" fontId="230" fillId="149" borderId="0" applyNumberFormat="0" applyBorder="0" applyAlignment="0" applyProtection="0"/>
    <xf numFmtId="0" fontId="230" fillId="150" borderId="0" applyNumberFormat="0" applyBorder="0" applyAlignment="0" applyProtection="0"/>
    <xf numFmtId="0" fontId="429" fillId="22" borderId="0" applyNumberFormat="0" applyBorder="0" applyAlignment="0" applyProtection="0">
      <alignment vertical="center"/>
    </xf>
    <xf numFmtId="0" fontId="430" fillId="22" borderId="0" applyNumberFormat="0" applyBorder="0" applyAlignment="0" applyProtection="0">
      <alignment vertical="center"/>
    </xf>
    <xf numFmtId="0" fontId="183" fillId="22" borderId="0" applyNumberFormat="0" applyBorder="0" applyAlignment="0" applyProtection="0">
      <alignment vertical="center"/>
    </xf>
    <xf numFmtId="0" fontId="99" fillId="34" borderId="0" applyNumberFormat="0" applyBorder="0" applyAlignment="0" applyProtection="0">
      <alignment vertical="center"/>
    </xf>
    <xf numFmtId="0" fontId="230" fillId="22" borderId="0" applyNumberFormat="0" applyBorder="0" applyProtection="0">
      <alignment vertical="center"/>
    </xf>
    <xf numFmtId="0" fontId="183" fillId="45" borderId="0" applyNumberFormat="0" applyBorder="0" applyAlignment="0" applyProtection="0"/>
    <xf numFmtId="0" fontId="183" fillId="45" borderId="0" applyNumberFormat="0" applyBorder="0" applyProtection="0">
      <alignment vertical="center"/>
    </xf>
    <xf numFmtId="0" fontId="431" fillId="0" borderId="12" applyNumberFormat="0" applyFill="0" applyAlignment="0" applyProtection="0">
      <alignment vertical="center"/>
    </xf>
    <xf numFmtId="0" fontId="93" fillId="0" borderId="12" applyNumberFormat="0" applyFill="0" applyAlignment="0" applyProtection="0">
      <alignment vertical="center"/>
    </xf>
    <xf numFmtId="0" fontId="431" fillId="0" borderId="12" applyNumberFormat="0" applyFill="0" applyProtection="0">
      <alignment vertical="center"/>
    </xf>
    <xf numFmtId="0" fontId="431" fillId="0" borderId="58" applyNumberFormat="0" applyFill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191" fontId="490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0" fillId="0" borderId="0" applyFont="0" applyFill="0" applyBorder="0" applyAlignment="0" applyProtection="0">
      <alignment vertical="center"/>
    </xf>
    <xf numFmtId="177" fontId="432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91" fontId="17" fillId="0" borderId="0" applyFont="0" applyFill="0" applyBorder="0" applyAlignment="0" applyProtection="0"/>
    <xf numFmtId="345" fontId="19" fillId="0" borderId="0" applyFont="0" applyFill="0" applyBorder="0" applyAlignment="0" applyProtection="0">
      <alignment vertical="center"/>
    </xf>
    <xf numFmtId="346" fontId="60" fillId="0" borderId="0" applyFont="0" applyFill="0" applyBorder="0" applyAlignment="0" applyProtection="0"/>
    <xf numFmtId="347" fontId="27" fillId="0" borderId="0" applyFill="0" applyBorder="0" applyAlignment="0" applyProtection="0"/>
    <xf numFmtId="0" fontId="433" fillId="0" borderId="12" applyNumberFormat="0" applyFill="0" applyAlignment="0" applyProtection="0">
      <alignment vertical="center"/>
    </xf>
    <xf numFmtId="0" fontId="434" fillId="24" borderId="11" applyNumberFormat="0" applyAlignment="0" applyProtection="0">
      <alignment vertical="center"/>
    </xf>
    <xf numFmtId="0" fontId="435" fillId="4" borderId="6" applyNumberFormat="0" applyAlignment="0" applyProtection="0">
      <alignment vertical="center"/>
    </xf>
    <xf numFmtId="0" fontId="173" fillId="24" borderId="11" applyNumberFormat="0" applyAlignment="0" applyProtection="0">
      <alignment vertical="center"/>
    </xf>
    <xf numFmtId="0" fontId="434" fillId="24" borderId="11" applyNumberFormat="0" applyProtection="0">
      <alignment vertical="center"/>
    </xf>
    <xf numFmtId="0" fontId="436" fillId="24" borderId="11" applyNumberFormat="0" applyAlignment="0" applyProtection="0">
      <alignment vertical="center"/>
    </xf>
    <xf numFmtId="0" fontId="434" fillId="26" borderId="11" applyNumberFormat="0" applyAlignment="0" applyProtection="0">
      <alignment vertical="center"/>
    </xf>
    <xf numFmtId="0" fontId="437" fillId="24" borderId="11" applyNumberFormat="0" applyAlignment="0" applyProtection="0">
      <alignment vertical="center"/>
    </xf>
    <xf numFmtId="0" fontId="73" fillId="49" borderId="11" applyNumberFormat="0" applyAlignment="0" applyProtection="0">
      <alignment vertical="center"/>
    </xf>
    <xf numFmtId="0" fontId="436" fillId="35" borderId="11" applyNumberFormat="0" applyProtection="0">
      <alignment vertical="center"/>
    </xf>
    <xf numFmtId="0" fontId="438" fillId="113" borderId="25" applyNumberFormat="0" applyAlignment="0" applyProtection="0">
      <alignment vertical="center"/>
    </xf>
    <xf numFmtId="0" fontId="439" fillId="5" borderId="8" applyNumberFormat="0" applyAlignment="0" applyProtection="0">
      <alignment vertical="center"/>
    </xf>
    <xf numFmtId="0" fontId="192" fillId="113" borderId="25" applyNumberFormat="0" applyAlignment="0" applyProtection="0">
      <alignment vertical="center"/>
    </xf>
    <xf numFmtId="0" fontId="438" fillId="113" borderId="25" applyNumberFormat="0" applyProtection="0">
      <alignment vertical="center"/>
    </xf>
    <xf numFmtId="0" fontId="440" fillId="113" borderId="25" applyNumberFormat="0" applyAlignment="0" applyProtection="0">
      <alignment vertical="center"/>
    </xf>
    <xf numFmtId="0" fontId="441" fillId="113" borderId="25" applyNumberFormat="0" applyAlignment="0" applyProtection="0">
      <alignment vertical="center"/>
    </xf>
    <xf numFmtId="0" fontId="231" fillId="113" borderId="25" applyNumberFormat="0" applyAlignment="0" applyProtection="0">
      <alignment vertical="center"/>
    </xf>
    <xf numFmtId="0" fontId="442" fillId="5" borderId="8" applyNumberFormat="0" applyAlignment="0" applyProtection="0">
      <alignment vertical="center"/>
    </xf>
    <xf numFmtId="0" fontId="440" fillId="107" borderId="25" applyNumberFormat="0" applyProtection="0">
      <alignment vertical="center"/>
    </xf>
    <xf numFmtId="0" fontId="443" fillId="113" borderId="25" applyNumberFormat="0" applyAlignment="0" applyProtection="0">
      <alignment vertical="center"/>
    </xf>
    <xf numFmtId="0" fontId="444" fillId="0" borderId="13" applyNumberFormat="0" applyFill="0" applyAlignment="0" applyProtection="0">
      <alignment vertical="center"/>
    </xf>
    <xf numFmtId="0" fontId="445" fillId="0" borderId="40" applyNumberFormat="0" applyFill="0" applyAlignment="0" applyProtection="0">
      <alignment vertical="center"/>
    </xf>
    <xf numFmtId="0" fontId="446" fillId="0" borderId="43" applyNumberFormat="0" applyFill="0" applyAlignment="0" applyProtection="0">
      <alignment vertical="center"/>
    </xf>
    <xf numFmtId="0" fontId="446" fillId="0" borderId="0" applyNumberFormat="0" applyFill="0" applyBorder="0" applyAlignment="0" applyProtection="0">
      <alignment vertical="center"/>
    </xf>
    <xf numFmtId="0" fontId="447" fillId="0" borderId="0"/>
    <xf numFmtId="0" fontId="448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448" fillId="0" borderId="0" applyNumberFormat="0" applyFill="0" applyBorder="0" applyProtection="0">
      <alignment vertical="center"/>
    </xf>
    <xf numFmtId="0" fontId="449" fillId="0" borderId="0" applyNumberFormat="0" applyFill="0" applyBorder="0" applyAlignment="0" applyProtection="0">
      <alignment vertical="center"/>
    </xf>
    <xf numFmtId="0" fontId="450" fillId="0" borderId="0" applyNumberFormat="0" applyFill="0" applyBorder="0" applyAlignment="0" applyProtection="0">
      <alignment vertical="center"/>
    </xf>
    <xf numFmtId="0" fontId="451" fillId="0" borderId="0" applyNumberFormat="0" applyFill="0" applyBorder="0" applyAlignment="0" applyProtection="0">
      <alignment vertical="center"/>
    </xf>
    <xf numFmtId="0" fontId="452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451" fillId="0" borderId="0" applyNumberFormat="0" applyFill="0" applyBorder="0" applyProtection="0">
      <alignment vertical="center"/>
    </xf>
    <xf numFmtId="0" fontId="453" fillId="0" borderId="0" applyNumberFormat="0" applyFill="0" applyBorder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454" fillId="0" borderId="0" applyNumberFormat="0" applyFill="0" applyBorder="0" applyAlignment="0" applyProtection="0">
      <alignment vertical="center"/>
    </xf>
    <xf numFmtId="0" fontId="453" fillId="0" borderId="0" applyNumberFormat="0" applyFill="0" applyBorder="0" applyProtection="0">
      <alignment vertical="center"/>
    </xf>
    <xf numFmtId="0" fontId="234" fillId="25" borderId="11" applyNumberFormat="0" applyAlignment="0" applyProtection="0">
      <alignment vertical="center"/>
    </xf>
    <xf numFmtId="0" fontId="289" fillId="0" borderId="9" applyNumberFormat="0" applyFill="0" applyAlignment="0" applyProtection="0">
      <alignment vertical="center"/>
    </xf>
    <xf numFmtId="0" fontId="455" fillId="0" borderId="9" applyNumberFormat="0" applyFill="0" applyAlignment="0" applyProtection="0">
      <alignment vertical="center"/>
    </xf>
    <xf numFmtId="0" fontId="456" fillId="0" borderId="26" applyNumberFormat="0" applyFill="0" applyProtection="0">
      <alignment vertical="center"/>
    </xf>
    <xf numFmtId="0" fontId="457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457" fillId="0" borderId="26" applyNumberFormat="0" applyFill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9" fillId="0" borderId="0" applyNumberFormat="0" applyFill="0" applyBorder="0" applyAlignment="0" applyProtection="0"/>
    <xf numFmtId="179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99" fontId="27" fillId="0" borderId="0" applyFill="0" applyBorder="0" applyAlignment="0" applyProtection="0"/>
    <xf numFmtId="179" fontId="16" fillId="0" borderId="0" applyFont="0" applyFill="0" applyBorder="0" applyAlignment="0" applyProtection="0">
      <alignment vertical="center"/>
    </xf>
    <xf numFmtId="194" fontId="432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43" fontId="490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60" fillId="0" borderId="0" applyNumberFormat="0" applyFill="0" applyBorder="0" applyAlignment="0" applyProtection="0">
      <alignment vertical="center"/>
    </xf>
    <xf numFmtId="0" fontId="461" fillId="0" borderId="0" applyNumberFormat="0" applyFill="0" applyBorder="0" applyAlignment="0" applyProtection="0">
      <alignment vertical="center"/>
    </xf>
    <xf numFmtId="0" fontId="143" fillId="104" borderId="0" applyNumberFormat="0" applyBorder="0" applyAlignment="0" applyProtection="0">
      <alignment vertical="center"/>
    </xf>
    <xf numFmtId="0" fontId="133" fillId="104" borderId="0" applyNumberFormat="0" applyBorder="0" applyAlignment="0" applyProtection="0">
      <alignment vertical="center"/>
    </xf>
    <xf numFmtId="0" fontId="143" fillId="104" borderId="0" applyNumberFormat="0" applyBorder="0" applyProtection="0">
      <alignment vertical="center"/>
    </xf>
    <xf numFmtId="0" fontId="143" fillId="106" borderId="0" applyNumberFormat="0" applyBorder="0" applyAlignment="0" applyProtection="0">
      <alignment vertical="center"/>
    </xf>
    <xf numFmtId="0" fontId="133" fillId="106" borderId="0" applyNumberFormat="0" applyBorder="0" applyAlignment="0" applyProtection="0">
      <alignment vertical="center"/>
    </xf>
    <xf numFmtId="0" fontId="143" fillId="106" borderId="0" applyNumberFormat="0" applyBorder="0" applyProtection="0">
      <alignment vertical="center"/>
    </xf>
    <xf numFmtId="0" fontId="96" fillId="106" borderId="0" applyNumberFormat="0" applyBorder="0" applyAlignment="0" applyProtection="0">
      <alignment vertical="center"/>
    </xf>
    <xf numFmtId="0" fontId="143" fillId="108" borderId="0" applyNumberFormat="0" applyBorder="0" applyAlignment="0" applyProtection="0">
      <alignment vertical="center"/>
    </xf>
    <xf numFmtId="0" fontId="133" fillId="108" borderId="0" applyNumberFormat="0" applyBorder="0" applyAlignment="0" applyProtection="0">
      <alignment vertical="center"/>
    </xf>
    <xf numFmtId="0" fontId="143" fillId="108" borderId="0" applyNumberFormat="0" applyBorder="0" applyProtection="0">
      <alignment vertical="center"/>
    </xf>
    <xf numFmtId="0" fontId="96" fillId="108" borderId="0" applyNumberFormat="0" applyBorder="0" applyAlignment="0" applyProtection="0">
      <alignment vertical="center"/>
    </xf>
    <xf numFmtId="0" fontId="96" fillId="110" borderId="0" applyNumberFormat="0" applyBorder="0" applyAlignment="0" applyProtection="0">
      <alignment vertical="center"/>
    </xf>
    <xf numFmtId="0" fontId="143" fillId="41" borderId="0" applyNumberFormat="0" applyBorder="0" applyAlignment="0" applyProtection="0">
      <alignment vertical="center"/>
    </xf>
    <xf numFmtId="0" fontId="133" fillId="41" borderId="0" applyNumberFormat="0" applyBorder="0" applyAlignment="0" applyProtection="0">
      <alignment vertical="center"/>
    </xf>
    <xf numFmtId="0" fontId="143" fillId="41" borderId="0" applyNumberFormat="0" applyBorder="0" applyProtection="0">
      <alignment vertical="center"/>
    </xf>
    <xf numFmtId="0" fontId="96" fillId="41" borderId="0" applyNumberFormat="0" applyBorder="0" applyAlignment="0" applyProtection="0">
      <alignment vertical="center"/>
    </xf>
    <xf numFmtId="276" fontId="28" fillId="0" borderId="0" applyFont="0" applyFill="0" applyBorder="0" applyAlignment="0" applyProtection="0"/>
    <xf numFmtId="14" fontId="72" fillId="0" borderId="0" applyFont="0" applyFill="0" applyBorder="0" applyAlignment="0" applyProtection="0"/>
    <xf numFmtId="328" fontId="28" fillId="0" borderId="0" applyFont="0" applyFill="0" applyBorder="0" applyProtection="0">
      <alignment horizontal="centerContinuous"/>
    </xf>
    <xf numFmtId="348" fontId="28" fillId="0" borderId="0" applyFont="0" applyFill="0" applyBorder="0" applyAlignment="0" applyProtection="0"/>
    <xf numFmtId="349" fontId="28" fillId="0" borderId="0" applyFont="0" applyFill="0" applyBorder="0" applyAlignment="0" applyProtection="0"/>
    <xf numFmtId="0" fontId="462" fillId="25" borderId="11" applyNumberFormat="0" applyAlignment="0" applyProtection="0">
      <alignment vertical="center"/>
    </xf>
    <xf numFmtId="284" fontId="101" fillId="0" borderId="0" applyFont="0" applyFill="0" applyBorder="0" applyAlignment="0" applyProtection="0"/>
    <xf numFmtId="0" fontId="463" fillId="0" borderId="0" applyNumberFormat="0" applyFill="0" applyBorder="0" applyAlignment="0" applyProtection="0">
      <alignment vertical="top"/>
      <protection locked="0"/>
    </xf>
    <xf numFmtId="1" fontId="101" fillId="0" borderId="0" applyFont="0" applyFill="0" applyBorder="0" applyAlignment="0" applyProtection="0">
      <alignment horizontal="right"/>
    </xf>
    <xf numFmtId="0" fontId="464" fillId="23" borderId="0" applyNumberFormat="0" applyBorder="0" applyAlignment="0" applyProtection="0">
      <alignment vertical="center"/>
    </xf>
    <xf numFmtId="0" fontId="465" fillId="8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464" fillId="23" borderId="0" applyNumberFormat="0" applyBorder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7" fillId="24" borderId="24" applyNumberFormat="0" applyAlignment="0" applyProtection="0">
      <alignment vertical="center"/>
    </xf>
    <xf numFmtId="0" fontId="468" fillId="4" borderId="7" applyNumberFormat="0" applyAlignment="0" applyProtection="0">
      <alignment vertical="center"/>
    </xf>
    <xf numFmtId="0" fontId="169" fillId="24" borderId="24" applyNumberFormat="0" applyAlignment="0" applyProtection="0">
      <alignment vertical="center"/>
    </xf>
    <xf numFmtId="0" fontId="467" fillId="24" borderId="24" applyNumberFormat="0" applyProtection="0">
      <alignment vertical="center"/>
    </xf>
    <xf numFmtId="0" fontId="469" fillId="24" borderId="24" applyNumberFormat="0" applyAlignment="0" applyProtection="0">
      <alignment vertical="center"/>
    </xf>
    <xf numFmtId="0" fontId="467" fillId="26" borderId="24" applyNumberFormat="0" applyAlignment="0" applyProtection="0">
      <alignment vertical="center"/>
    </xf>
    <xf numFmtId="0" fontId="279" fillId="25" borderId="11" applyNumberFormat="0" applyAlignment="0" applyProtection="0">
      <alignment vertical="center"/>
    </xf>
    <xf numFmtId="0" fontId="470" fillId="3" borderId="6" applyNumberFormat="0" applyAlignment="0" applyProtection="0">
      <alignment vertical="center"/>
    </xf>
    <xf numFmtId="0" fontId="220" fillId="25" borderId="11" applyNumberFormat="0" applyAlignment="0" applyProtection="0">
      <alignment vertical="center"/>
    </xf>
    <xf numFmtId="0" fontId="279" fillId="25" borderId="11" applyNumberFormat="0" applyProtection="0">
      <alignment vertical="center"/>
    </xf>
    <xf numFmtId="0" fontId="471" fillId="25" borderId="11" applyNumberFormat="0" applyAlignment="0" applyProtection="0">
      <alignment vertical="center"/>
    </xf>
    <xf numFmtId="0" fontId="237" fillId="49" borderId="24" applyNumberFormat="0" applyAlignment="0" applyProtection="0">
      <alignment vertical="center"/>
    </xf>
    <xf numFmtId="0" fontId="469" fillId="35" borderId="24" applyNumberFormat="0" applyProtection="0">
      <alignment vertical="center"/>
    </xf>
    <xf numFmtId="0" fontId="471" fillId="63" borderId="11" applyNumberFormat="0" applyProtection="0">
      <alignment vertical="center"/>
    </xf>
    <xf numFmtId="0" fontId="472" fillId="0" borderId="0" applyNumberFormat="0" applyFill="0" applyBorder="0" applyAlignment="0" applyProtection="0">
      <alignment vertical="center"/>
    </xf>
    <xf numFmtId="0" fontId="449" fillId="0" borderId="0" applyNumberFormat="0" applyFill="0" applyBorder="0" applyProtection="0">
      <alignment vertical="center"/>
    </xf>
    <xf numFmtId="0" fontId="473" fillId="0" borderId="0" applyNumberFormat="0" applyFill="0" applyBorder="0" applyAlignment="0" applyProtection="0">
      <alignment vertical="center"/>
    </xf>
    <xf numFmtId="0" fontId="474" fillId="0" borderId="0" applyNumberFormat="0" applyFill="0" applyBorder="0" applyAlignment="0" applyProtection="0">
      <alignment vertical="top"/>
      <protection locked="0"/>
    </xf>
    <xf numFmtId="0" fontId="475" fillId="0" borderId="0" applyNumberFormat="0" applyFill="0" applyBorder="0" applyAlignment="0" applyProtection="0">
      <alignment vertical="top"/>
      <protection locked="0"/>
    </xf>
    <xf numFmtId="350" fontId="28" fillId="0" borderId="0" applyFont="0" applyFill="0" applyBorder="0" applyAlignment="0" applyProtection="0"/>
    <xf numFmtId="239" fontId="27" fillId="0" borderId="0" applyFill="0" applyBorder="0" applyAlignment="0" applyProtection="0"/>
    <xf numFmtId="351" fontId="27" fillId="0" borderId="0" applyFill="0" applyBorder="0" applyAlignment="0" applyProtection="0"/>
    <xf numFmtId="49" fontId="72" fillId="0" borderId="0"/>
    <xf numFmtId="0" fontId="29" fillId="0" borderId="0" applyNumberFormat="0" applyFill="0" applyBorder="0" applyAlignment="0" applyProtection="0"/>
    <xf numFmtId="0" fontId="476" fillId="0" borderId="0" applyNumberFormat="0" applyFill="0" applyBorder="0" applyAlignment="0" applyProtection="0"/>
    <xf numFmtId="0" fontId="477" fillId="0" borderId="0" applyNumberFormat="0" applyFill="0" applyBorder="0" applyAlignment="0" applyProtection="0"/>
    <xf numFmtId="0" fontId="28" fillId="56" borderId="1"/>
    <xf numFmtId="284" fontId="29" fillId="0" borderId="0" applyFont="0" applyFill="0" applyBorder="0" applyAlignment="0" applyProtection="0"/>
    <xf numFmtId="343" fontId="18" fillId="0" borderId="0"/>
    <xf numFmtId="1" fontId="16" fillId="0" borderId="0" applyNumberFormat="0" applyFill="0" applyBorder="0" applyAlignment="0" applyProtection="0"/>
    <xf numFmtId="0" fontId="23" fillId="0" borderId="0" applyProtection="0">
      <alignment vertical="center"/>
    </xf>
    <xf numFmtId="291" fontId="16" fillId="0" borderId="0"/>
    <xf numFmtId="0" fontId="128" fillId="0" borderId="0"/>
    <xf numFmtId="291" fontId="478" fillId="0" borderId="0">
      <alignment vertical="center"/>
    </xf>
    <xf numFmtId="291" fontId="128" fillId="0" borderId="0">
      <alignment vertical="center"/>
    </xf>
    <xf numFmtId="291" fontId="60" fillId="0" borderId="0">
      <alignment vertical="center"/>
    </xf>
    <xf numFmtId="0" fontId="479" fillId="0" borderId="0"/>
    <xf numFmtId="180" fontId="128" fillId="0" borderId="0">
      <alignment vertical="center"/>
    </xf>
    <xf numFmtId="180" fontId="12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88" fontId="478" fillId="0" borderId="0">
      <alignment vertical="center"/>
    </xf>
    <xf numFmtId="0" fontId="28" fillId="0" borderId="0">
      <alignment vertical="center"/>
    </xf>
    <xf numFmtId="0" fontId="480" fillId="0" borderId="0">
      <alignment vertical="center"/>
    </xf>
    <xf numFmtId="291" fontId="490" fillId="0" borderId="0">
      <alignment vertical="center"/>
    </xf>
    <xf numFmtId="291" fontId="17" fillId="0" borderId="0">
      <alignment vertical="center"/>
    </xf>
    <xf numFmtId="0" fontId="481" fillId="0" borderId="0"/>
    <xf numFmtId="0" fontId="17" fillId="0" borderId="0" applyProtection="0">
      <alignment vertical="center"/>
    </xf>
    <xf numFmtId="0" fontId="20" fillId="0" borderId="0"/>
    <xf numFmtId="0" fontId="482" fillId="0" borderId="0"/>
    <xf numFmtId="0" fontId="128" fillId="0" borderId="0">
      <alignment vertical="center"/>
    </xf>
    <xf numFmtId="0" fontId="27" fillId="0" borderId="0"/>
    <xf numFmtId="0" fontId="127" fillId="0" borderId="0">
      <alignment vertical="center"/>
    </xf>
    <xf numFmtId="0" fontId="20" fillId="0" borderId="0" applyProtection="0">
      <alignment vertical="center"/>
    </xf>
    <xf numFmtId="0" fontId="483" fillId="0" borderId="0"/>
    <xf numFmtId="0" fontId="16" fillId="0" borderId="0"/>
    <xf numFmtId="0" fontId="16" fillId="0" borderId="0"/>
    <xf numFmtId="0" fontId="20" fillId="0" borderId="0">
      <alignment vertical="center"/>
    </xf>
    <xf numFmtId="0" fontId="484" fillId="0" borderId="0" applyNumberFormat="0" applyFont="0" applyFill="0" applyBorder="0" applyProtection="0">
      <alignment vertical="top"/>
    </xf>
    <xf numFmtId="271" fontId="37" fillId="0" borderId="0">
      <protection locked="0"/>
    </xf>
    <xf numFmtId="352" fontId="37" fillId="0" borderId="0">
      <protection locked="0"/>
    </xf>
    <xf numFmtId="9" fontId="27" fillId="0" borderId="0" applyFill="0" applyBorder="0" applyAlignment="0" applyProtection="0"/>
    <xf numFmtId="0" fontId="72" fillId="0" borderId="0" applyNumberFormat="0" applyFont="0" applyFill="0" applyBorder="0" applyProtection="0">
      <alignment horizontal="left" vertical="top" wrapText="1"/>
    </xf>
    <xf numFmtId="1" fontId="29" fillId="0" borderId="0" applyFont="0" applyFill="0" applyBorder="0" applyAlignment="0" applyProtection="0">
      <alignment horizontal="right"/>
    </xf>
    <xf numFmtId="0" fontId="485" fillId="0" borderId="0" applyNumberFormat="0" applyFill="0" applyBorder="0" applyAlignment="0" applyProtection="0"/>
    <xf numFmtId="0" fontId="486" fillId="0" borderId="0" applyNumberFormat="0" applyFill="0" applyBorder="0" applyAlignment="0" applyProtection="0"/>
    <xf numFmtId="0" fontId="487" fillId="0" borderId="0" applyNumberFormat="0" applyFill="0" applyBorder="0" applyAlignment="0" applyProtection="0"/>
    <xf numFmtId="0" fontId="488" fillId="8" borderId="0" applyNumberFormat="0" applyBorder="0" applyAlignment="0" applyProtection="0">
      <alignment vertical="center"/>
    </xf>
    <xf numFmtId="0" fontId="466" fillId="141" borderId="0" applyNumberFormat="0" applyBorder="0" applyProtection="0">
      <alignment vertical="center"/>
    </xf>
    <xf numFmtId="0" fontId="98" fillId="30" borderId="14" applyNumberFormat="0" applyFont="0" applyAlignment="0" applyProtection="0">
      <alignment vertical="center"/>
    </xf>
    <xf numFmtId="0" fontId="490" fillId="2" borderId="5" applyNumberFormat="0" applyFont="0" applyAlignment="0" applyProtection="0">
      <alignment vertical="center"/>
    </xf>
    <xf numFmtId="4" fontId="390" fillId="0" borderId="0" applyFont="0" applyFill="0" applyBorder="0" applyAlignment="0" applyProtection="0"/>
    <xf numFmtId="3" fontId="390" fillId="0" borderId="0" applyFont="0" applyFill="0" applyBorder="0" applyAlignment="0" applyProtection="0"/>
    <xf numFmtId="10" fontId="390" fillId="0" borderId="0" applyFont="0" applyFill="0" applyBorder="0" applyAlignment="0" applyProtection="0"/>
    <xf numFmtId="0" fontId="390" fillId="0" borderId="57" applyNumberFormat="0" applyFont="0" applyFill="0" applyAlignment="0" applyProtection="0"/>
    <xf numFmtId="353" fontId="390" fillId="0" borderId="0" applyFont="0" applyFill="0" applyBorder="0" applyAlignment="0" applyProtection="0"/>
    <xf numFmtId="216" fontId="390" fillId="0" borderId="0" applyFont="0" applyFill="0" applyBorder="0" applyAlignment="0" applyProtection="0"/>
    <xf numFmtId="0" fontId="489" fillId="0" borderId="0">
      <alignment vertical="center"/>
    </xf>
    <xf numFmtId="0" fontId="49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1721" applyFont="1">
      <alignment vertical="center"/>
    </xf>
    <xf numFmtId="0" fontId="2" fillId="0" borderId="0" xfId="1721" applyFo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Fill="1" applyAlignment="1">
      <alignment horizontal="left"/>
    </xf>
    <xf numFmtId="348" fontId="3" fillId="0" borderId="0" xfId="0" applyNumberFormat="1" applyFont="1" applyAlignment="1">
      <alignment horizontal="center"/>
    </xf>
    <xf numFmtId="0" fontId="1" fillId="0" borderId="0" xfId="1721" applyFont="1" applyAlignment="1">
      <alignment horizontal="left" vertical="center"/>
    </xf>
    <xf numFmtId="0" fontId="1" fillId="0" borderId="0" xfId="1721" applyFont="1" applyFill="1" applyAlignment="1">
      <alignment horizontal="left" vertical="center"/>
    </xf>
    <xf numFmtId="0" fontId="5" fillId="0" borderId="1" xfId="1727" applyFont="1" applyFill="1" applyBorder="1" applyAlignment="1">
      <alignment horizontal="center" vertical="center" wrapText="1"/>
    </xf>
    <xf numFmtId="0" fontId="5" fillId="0" borderId="1" xfId="1727" applyFont="1" applyFill="1" applyBorder="1" applyAlignment="1">
      <alignment horizontal="left" vertical="center" wrapText="1"/>
    </xf>
    <xf numFmtId="0" fontId="2" fillId="0" borderId="0" xfId="1721" applyFont="1" applyAlignment="1">
      <alignment horizontal="left" vertical="center"/>
    </xf>
    <xf numFmtId="0" fontId="6" fillId="0" borderId="1" xfId="1728" applyNumberFormat="1" applyFont="1" applyFill="1" applyBorder="1" applyAlignment="1">
      <alignment horizontal="left" vertical="center"/>
    </xf>
    <xf numFmtId="3" fontId="6" fillId="0" borderId="1" xfId="1727" applyNumberFormat="1" applyFont="1" applyFill="1" applyBorder="1" applyAlignment="1">
      <alignment horizontal="left" vertical="center"/>
    </xf>
    <xf numFmtId="38" fontId="6" fillId="0" borderId="1" xfId="1727" applyNumberFormat="1" applyFont="1" applyFill="1" applyBorder="1" applyAlignment="1">
      <alignment horizontal="left" vertical="center"/>
    </xf>
    <xf numFmtId="0" fontId="8" fillId="0" borderId="0" xfId="1721" applyFont="1" applyFill="1" applyBorder="1" applyAlignment="1">
      <alignment horizontal="left" vertical="center"/>
    </xf>
    <xf numFmtId="0" fontId="5" fillId="0" borderId="1" xfId="1721" applyFont="1" applyFill="1" applyBorder="1" applyAlignment="1">
      <alignment horizontal="left" vertical="center" wrapText="1"/>
    </xf>
    <xf numFmtId="234" fontId="6" fillId="0" borderId="1" xfId="1721" applyNumberFormat="1" applyFont="1" applyFill="1" applyBorder="1" applyAlignment="1">
      <alignment horizontal="left" vertical="center"/>
    </xf>
    <xf numFmtId="0" fontId="5" fillId="0" borderId="1" xfId="1721" applyFont="1" applyFill="1" applyBorder="1" applyAlignment="1">
      <alignment horizontal="center" vertical="center" wrapText="1"/>
    </xf>
    <xf numFmtId="355" fontId="2" fillId="0" borderId="1" xfId="1721" applyNumberFormat="1" applyFont="1" applyFill="1" applyBorder="1" applyAlignment="1">
      <alignment horizontal="center" vertical="center"/>
    </xf>
    <xf numFmtId="0" fontId="1" fillId="0" borderId="0" xfId="1721" applyFont="1" applyFill="1">
      <alignment vertical="center"/>
    </xf>
    <xf numFmtId="0" fontId="1" fillId="0" borderId="0" xfId="1721" applyFont="1" applyFill="1" applyAlignment="1">
      <alignment horizontal="center" vertical="center"/>
    </xf>
    <xf numFmtId="9" fontId="1" fillId="0" borderId="0" xfId="1721" applyNumberFormat="1" applyFont="1" applyFill="1" applyAlignment="1">
      <alignment horizontal="left" vertical="center"/>
    </xf>
    <xf numFmtId="9" fontId="4" fillId="0" borderId="0" xfId="1721" applyNumberFormat="1" applyFont="1" applyFill="1" applyAlignment="1">
      <alignment horizontal="left" vertical="center"/>
    </xf>
    <xf numFmtId="0" fontId="4" fillId="0" borderId="0" xfId="1721" applyFont="1" applyFill="1" applyAlignment="1">
      <alignment horizontal="left" vertical="center"/>
    </xf>
    <xf numFmtId="10" fontId="1" fillId="0" borderId="0" xfId="1721" applyNumberFormat="1" applyFont="1" applyFill="1" applyAlignment="1">
      <alignment horizontal="left" vertical="center"/>
    </xf>
    <xf numFmtId="348" fontId="1" fillId="0" borderId="0" xfId="1721" applyNumberFormat="1" applyFont="1" applyFill="1" applyAlignment="1">
      <alignment horizontal="center" vertical="center"/>
    </xf>
    <xf numFmtId="355" fontId="5" fillId="0" borderId="1" xfId="1721" applyNumberFormat="1" applyFont="1" applyFill="1" applyBorder="1" applyAlignment="1">
      <alignment horizontal="left" vertical="center" wrapText="1"/>
    </xf>
    <xf numFmtId="348" fontId="10" fillId="0" borderId="1" xfId="1721" applyNumberFormat="1" applyFont="1" applyFill="1" applyBorder="1" applyAlignment="1">
      <alignment horizontal="center" vertical="center" wrapText="1"/>
    </xf>
    <xf numFmtId="0" fontId="2" fillId="0" borderId="0" xfId="1721" applyFont="1" applyFill="1" applyAlignment="1">
      <alignment horizontal="left" vertical="center"/>
    </xf>
    <xf numFmtId="0" fontId="7" fillId="0" borderId="1" xfId="0" applyFont="1" applyFill="1" applyBorder="1">
      <alignment vertical="center"/>
    </xf>
    <xf numFmtId="0" fontId="6" fillId="0" borderId="1" xfId="1727" applyFont="1" applyFill="1" applyBorder="1" applyAlignment="1">
      <alignment horizontal="center" vertical="center"/>
    </xf>
    <xf numFmtId="354" fontId="6" fillId="0" borderId="1" xfId="1721" applyNumberFormat="1" applyFont="1" applyFill="1" applyBorder="1" applyAlignment="1">
      <alignment horizontal="left" vertical="center"/>
    </xf>
    <xf numFmtId="234" fontId="9" fillId="0" borderId="1" xfId="1721" applyNumberFormat="1" applyFont="1" applyFill="1" applyBorder="1" applyAlignment="1">
      <alignment horizontal="left" vertical="center"/>
    </xf>
    <xf numFmtId="355" fontId="6" fillId="0" borderId="1" xfId="1721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2" fillId="0" borderId="1" xfId="1721" applyFont="1" applyFill="1" applyBorder="1" applyAlignment="1">
      <alignment horizontal="center" vertical="center"/>
    </xf>
    <xf numFmtId="0" fontId="2" fillId="0" borderId="0" xfId="1721" applyFont="1" applyFill="1">
      <alignment vertical="center"/>
    </xf>
    <xf numFmtId="0" fontId="8" fillId="0" borderId="2" xfId="1721" applyFont="1" applyFill="1" applyBorder="1" applyAlignment="1">
      <alignment horizontal="left" vertical="center"/>
    </xf>
    <xf numFmtId="0" fontId="8" fillId="0" borderId="3" xfId="1721" applyFont="1" applyFill="1" applyBorder="1" applyAlignment="1">
      <alignment horizontal="left" vertical="center"/>
    </xf>
    <xf numFmtId="0" fontId="8" fillId="0" borderId="4" xfId="1721" applyFont="1" applyFill="1" applyBorder="1" applyAlignment="1">
      <alignment horizontal="left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</cellXfs>
  <cellStyles count="1750">
    <cellStyle name="­" xfId="1" xr:uid="{00000000-0005-0000-0000-000031000000}"/>
    <cellStyle name=" " xfId="2" xr:uid="{00000000-0005-0000-0000-000032000000}"/>
    <cellStyle name="  " xfId="3" xr:uid="{00000000-0005-0000-0000-000033000000}"/>
    <cellStyle name="   3" xfId="4" xr:uid="{00000000-0005-0000-0000-000034000000}"/>
    <cellStyle name="  3" xfId="5" xr:uid="{00000000-0005-0000-0000-000035000000}"/>
    <cellStyle name=" _~4564123" xfId="6" xr:uid="{00000000-0005-0000-0000-000036000000}"/>
    <cellStyle name=" 1" xfId="7" xr:uid="{00000000-0005-0000-0000-000037000000}"/>
    <cellStyle name=" 1 2" xfId="8" xr:uid="{00000000-0005-0000-0000-000038000000}"/>
    <cellStyle name=" 1 2 2" xfId="9" xr:uid="{00000000-0005-0000-0000-000039000000}"/>
    <cellStyle name=" 1 2_Sheet1" xfId="10" xr:uid="{00000000-0005-0000-0000-00003A000000}"/>
    <cellStyle name=" 1 3 3" xfId="11" xr:uid="{00000000-0005-0000-0000-00003B000000}"/>
    <cellStyle name=" 1 56" xfId="12" xr:uid="{00000000-0005-0000-0000-00003C000000}"/>
    <cellStyle name="_x0004_ 10" xfId="13" xr:uid="{00000000-0005-0000-0000-00003D000000}"/>
    <cellStyle name="_x0004_ 19" xfId="14" xr:uid="{00000000-0005-0000-0000-00003E000000}"/>
    <cellStyle name="_x0004_ 2" xfId="15" xr:uid="{00000000-0005-0000-0000-00003F000000}"/>
    <cellStyle name="­ 3" xfId="16" xr:uid="{00000000-0005-0000-0000-000040000000}"/>
    <cellStyle name="_x001e_ 3" xfId="17" xr:uid="{00000000-0005-0000-0000-000041000000}"/>
    <cellStyle name="_x001e_ 5" xfId="18" xr:uid="{00000000-0005-0000-0000-000042000000}"/>
    <cellStyle name="_x0011__x000a__x0006__x0006__x0012_" xfId="19" xr:uid="{00000000-0005-0000-0000-000043000000}"/>
    <cellStyle name="_x0011__x000a__x0006__x0006__x0012_?" xfId="20" xr:uid="{00000000-0005-0000-0000-000044000000}"/>
    <cellStyle name="_x000d__x000a_JournalTemplate=C:\COMFO\CTALK\JOURSTD.TPL_x000d__x000a_LbStateAddress=3 3 0 251 1 89 2 311_x000d__x000a_LbStateJou 2 2 2" xfId="21" xr:uid="{00000000-0005-0000-0000-000045000000}"/>
    <cellStyle name="_x000d__x000a_JournalTemplate=C:\COMFO\CTALK\JOURSTD.TPL_x000d__x000a_LbStateAddress=3 3 0 251 1 89 2 311_x000d__x000a_LbStateJou 2 4" xfId="22" xr:uid="{00000000-0005-0000-0000-000046000000}"/>
    <cellStyle name="_x000d__x000a_JournalTemplate=C:\COMFO\CTALK\JOURSTD.TPL_x000d__x000a_LbStateAddress=3 3 0 251 1 89 2 311_x000d__x000a_LbStateJou 6" xfId="23" xr:uid="{00000000-0005-0000-0000-000047000000}"/>
    <cellStyle name="$0" xfId="24" xr:uid="{00000000-0005-0000-0000-000048000000}"/>
    <cellStyle name="$0.0" xfId="25" xr:uid="{00000000-0005-0000-0000-000049000000}"/>
    <cellStyle name="$0.00" xfId="26" xr:uid="{00000000-0005-0000-0000-00004A000000}"/>
    <cellStyle name="$0_ 00-09-01" xfId="27" xr:uid="{00000000-0005-0000-0000-00004B000000}"/>
    <cellStyle name="％" xfId="28" xr:uid="{00000000-0005-0000-0000-00004C000000}"/>
    <cellStyle name="％_Sheet2" xfId="29" xr:uid="{00000000-0005-0000-0000-00004D000000}"/>
    <cellStyle name="%0" xfId="30" xr:uid="{00000000-0005-0000-0000-00004E000000}"/>
    <cellStyle name="%0.0" xfId="31" xr:uid="{00000000-0005-0000-0000-00004F000000}"/>
    <cellStyle name="%0_◆J48J EU_JPN_質量ﾚﾍﾞﾙ" xfId="32" xr:uid="{00000000-0005-0000-0000-000050000000}"/>
    <cellStyle name="％小数点1桁" xfId="33" xr:uid="{00000000-0005-0000-0000-000051000000}"/>
    <cellStyle name="％小数点2桁" xfId="34" xr:uid="{00000000-0005-0000-0000-000052000000}"/>
    <cellStyle name="? 2 2 2" xfId="35" xr:uid="{00000000-0005-0000-0000-000053000000}"/>
    <cellStyle name="? 2 2 3" xfId="36" xr:uid="{00000000-0005-0000-0000-000054000000}"/>
    <cellStyle name="? 5" xfId="37" xr:uid="{00000000-0005-0000-0000-000055000000}"/>
    <cellStyle name="? 56" xfId="38" xr:uid="{00000000-0005-0000-0000-000056000000}"/>
    <cellStyle name="? 6" xfId="39" xr:uid="{00000000-0005-0000-0000-000057000000}"/>
    <cellStyle name="?＃????豕 [0.00]_!!!GO" xfId="40" xr:uid="{00000000-0005-0000-0000-000058000000}"/>
    <cellStyle name="?＃????豕_!!!GO" xfId="41" xr:uid="{00000000-0005-0000-0000-000059000000}"/>
    <cellStyle name="?? [0.00]_01Protege ME (PAP-3)" xfId="42" xr:uid="{00000000-0005-0000-0000-00005A000000}"/>
    <cellStyle name="?? [0]_!!!GO" xfId="43" xr:uid="{00000000-0005-0000-0000-00005B000000}"/>
    <cellStyle name="?? 2" xfId="44" xr:uid="{00000000-0005-0000-0000-00005C000000}"/>
    <cellStyle name="??&amp;O?&amp;H?_x0008__x000f__x0007_?_x0007__x0001__x0001_?_x0002_yyyyyyyyyyyyyyy_x0001_(_x0002_c_x0009_????yyyy????_x0007_??????????????????????????           ?????           ?????????_x000d_C:\WINDOWS\COUNTRY.SYS_x000d_???????????????????????????????????????" xfId="45" xr:uid="{00000000-0005-0000-0000-00005D000000}"/>
    <cellStyle name="??&amp;O?&amp;H?_x005f_x0008_??_x005f_x0007__x005f_x0001__x005f_x0001_" xfId="46" xr:uid="{00000000-0005-0000-0000-00005E000000}"/>
    <cellStyle name="???" xfId="47" xr:uid="{00000000-0005-0000-0000-00005F000000}"/>
    <cellStyle name="???? [0.00]_00acc" xfId="48" xr:uid="{00000000-0005-0000-0000-000060000000}"/>
    <cellStyle name="???????" xfId="49" xr:uid="{00000000-0005-0000-0000-000061000000}"/>
    <cellStyle name="???????????_x000b_?_x0010__x0001_??check_files??9곤??????????????????????????????????????_x0009_?_x0010__x0001_??auto_open??9곤???????????????????_x0010__x0001_????뷄???????????_x000b_?_x0010__x0001_??check_files??9E???????????????????" xfId="50" xr:uid="{00000000-0005-0000-0000-000062000000}"/>
    <cellStyle name="????????????" xfId="51" xr:uid="{00000000-0005-0000-0000-000063000000}"/>
    <cellStyle name="??????????????M-METER??e" xfId="52" xr:uid="{00000000-0005-0000-0000-000064000000}"/>
    <cellStyle name="????????????_Sheet2" xfId="53" xr:uid="{00000000-0005-0000-0000-000065000000}"/>
    <cellStyle name="????????????AT" xfId="54" xr:uid="{00000000-0005-0000-0000-000066000000}"/>
    <cellStyle name="????????????B)h1_1artsry" xfId="55" xr:uid="{00000000-0005-0000-0000-000067000000}"/>
    <cellStyle name="????????????esolume 02A3" xfId="56" xr:uid="{00000000-0005-0000-0000-000068000000}"/>
    <cellStyle name="????????????ge Details1c" xfId="57" xr:uid="{00000000-0005-0000-0000-000069000000}"/>
    <cellStyle name="????????????le" xfId="58" xr:uid="{00000000-0005-0000-0000-00006A000000}"/>
    <cellStyle name="????????????t??c Change " xfId="59" xr:uid="{00000000-0005-0000-0000-00006B000000}"/>
    <cellStyle name="????????????VC (2))VC (2" xfId="60" xr:uid="{00000000-0005-0000-0000-00006C000000}"/>
    <cellStyle name="????????????ycountNNOTEW" xfId="61" xr:uid="{00000000-0005-0000-0000-00006D000000}"/>
    <cellStyle name="?????????WINNO" xfId="62" xr:uid="{00000000-0005-0000-0000-00006E000000}"/>
    <cellStyle name="???????UL PT1_" xfId="63" xr:uid="{00000000-0005-0000-0000-00006F000000}"/>
    <cellStyle name="???????usmixes" xfId="64" xr:uid="{00000000-0005-0000-0000-000070000000}"/>
    <cellStyle name="???????XX vs a" xfId="65" xr:uid="{00000000-0005-0000-0000-000071000000}"/>
    <cellStyle name="??????_°???????" xfId="66" xr:uid="{00000000-0005-0000-0000-000072000000}"/>
    <cellStyle name="?????_x0004_?͌ß마 _x0002_?䤔÷䠔" xfId="67" xr:uid="{00000000-0005-0000-0000-000073000000}"/>
    <cellStyle name="???????鮒?????????????_x0001_???_x0001_???_x0001_???_x0001_?_x0002_?_x0003_?_x0004_??_x0001_??L?????????????? ??????????_x0007__x0003_??K_x0001_????_x000b_?? ??&amp;???_x001b_???????????L_x0004_??X_x0004_??????????????? 2" xfId="68" xr:uid="{00000000-0005-0000-0000-000074000000}"/>
    <cellStyle name="????_??? " xfId="69" xr:uid="{00000000-0005-0000-0000-000075000000}"/>
    <cellStyle name="???[0]_~ME0858" xfId="70" xr:uid="{00000000-0005-0000-0000-000076000000}"/>
    <cellStyle name="???_????????aro" xfId="71" xr:uid="{00000000-0005-0000-0000-000077000000}"/>
    <cellStyle name="???¶ [0]_°???" xfId="72" xr:uid="{00000000-0005-0000-0000-000078000000}"/>
    <cellStyle name="???¶_°???" xfId="73" xr:uid="{00000000-0005-0000-0000-000079000000}"/>
    <cellStyle name="??_!!!GO" xfId="74" xr:uid="{00000000-0005-0000-0000-00007A000000}"/>
    <cellStyle name="?\??·?????n?C?p????“?N" xfId="75" xr:uid="{00000000-0005-0000-0000-00007B000000}"/>
    <cellStyle name="?_4551-000700-02" xfId="76" xr:uid="{00000000-0005-0000-0000-00007C000000}"/>
    <cellStyle name="?_4551-000700-02 2" xfId="77" xr:uid="{00000000-0005-0000-0000-00007D000000}"/>
    <cellStyle name="?_4551-000701-02 2" xfId="78" xr:uid="{00000000-0005-0000-0000-00007E000000}"/>
    <cellStyle name="?_4551-000701-02 3" xfId="79" xr:uid="{00000000-0005-0000-0000-00007F000000}"/>
    <cellStyle name="?_4551-012980-01 PDB 2" xfId="80" xr:uid="{00000000-0005-0000-0000-000080000000}"/>
    <cellStyle name="?_IC list 2" xfId="81" xr:uid="{00000000-0005-0000-0000-000081000000}"/>
    <cellStyle name="?_Multi source rate for Carnegie-20100423 2" xfId="82" xr:uid="{00000000-0005-0000-0000-000082000000}"/>
    <cellStyle name="?_Package Issue" xfId="83" xr:uid="{00000000-0005-0000-0000-000083000000}"/>
    <cellStyle name="?_PDB (4551-012980-00) &amp; PIB (4551-012970-00) &amp; front LED (4551-012990-00)Lan- 20140724 2" xfId="84" xr:uid="{00000000-0005-0000-0000-000084000000}"/>
    <cellStyle name="?_PDB (4551-012980-00) &amp; PIB (4551-012970-00) &amp; front LED (4551-012990-00)Lan- 20140724 2 2" xfId="85" xr:uid="{00000000-0005-0000-0000-000085000000}"/>
    <cellStyle name="?_PDB (4551-012980-01) &amp; PIB (4551-012970-01) &amp; front LED (4551-012990-01) Coleman 20140730 2" xfId="86" xr:uid="{00000000-0005-0000-0000-000086000000}"/>
    <cellStyle name="?_整理過 2 3" xfId="87" xr:uid="{00000000-0005-0000-0000-000087000000}"/>
    <cellStyle name="?_整理過_ORCAD 2 2" xfId="88" xr:uid="{00000000-0005-0000-0000-000088000000}"/>
    <cellStyle name="–?’??`" xfId="89" xr:uid="{00000000-0005-0000-0000-000089000000}"/>
    <cellStyle name="?·? [0]_????????aro" xfId="90" xr:uid="{00000000-0005-0000-0000-00008A000000}"/>
    <cellStyle name="?・? [0]_°???" xfId="91" xr:uid="{00000000-0005-0000-0000-00008B000000}"/>
    <cellStyle name="?・_x0017_?ｰ_x0001_???" xfId="92" xr:uid="{00000000-0005-0000-0000-00008C000000}"/>
    <cellStyle name="?・?_°???" xfId="93" xr:uid="{00000000-0005-0000-0000-00008D000000}"/>
    <cellStyle name="?…????? [0.00]_laroux" xfId="94" xr:uid="{00000000-0005-0000-0000-00008E000000}"/>
    <cellStyle name="?…??・?? [0.00]_010829 Price and Mix check MM recontract average report" xfId="95" xr:uid="{00000000-0005-0000-0000-00008F000000}"/>
    <cellStyle name="?…??・??_010829 Price and Mix check MM recontract average report" xfId="96" xr:uid="{00000000-0005-0000-0000-000090000000}"/>
    <cellStyle name="?…?a唇?e [0.00]_currentKC GL" xfId="97" xr:uid="{00000000-0005-0000-0000-000091000000}"/>
    <cellStyle name="?…?a唇?e_currentKC GL" xfId="98" xr:uid="{00000000-0005-0000-0000-000092000000}"/>
    <cellStyle name="?f??[0]_pldt" xfId="99" xr:uid="{00000000-0005-0000-0000-000093000000}"/>
    <cellStyle name="?n?C?p????“?N" xfId="100" xr:uid="{00000000-0005-0000-0000-000094000000}"/>
    <cellStyle name="?n?C?pー???“?N??_x0019_‘?????" xfId="101" xr:uid="{00000000-0005-0000-0000-000095000000}"/>
    <cellStyle name="?p?Z?※?g_pldt" xfId="102" xr:uid="{00000000-0005-0000-0000-000096000000}"/>
    <cellStyle name="?W·_Attach34_X61B_US_(2)" xfId="103" xr:uid="{00000000-0005-0000-0000-000097000000}"/>
    <cellStyle name="?W・_?b?`?m(U5C)" xfId="104" xr:uid="{00000000-0005-0000-0000-000098000000}"/>
    <cellStyle name="?WE_a(SD) Expence Info" xfId="105" xr:uid="{00000000-0005-0000-0000-000099000000}"/>
    <cellStyle name="?W3sμ2 10" xfId="106" xr:uid="{00000000-0005-0000-0000-00009A000000}"/>
    <cellStyle name="?W3sμ2 2" xfId="107" xr:uid="{00000000-0005-0000-0000-00009B000000}"/>
    <cellStyle name="?W3sμ2 2 4" xfId="108" xr:uid="{00000000-0005-0000-0000-00009C000000}"/>
    <cellStyle name="?W3sμ2 56" xfId="109" xr:uid="{00000000-0005-0000-0000-00009D000000}"/>
    <cellStyle name="?W3sμ2_Purley MB format" xfId="110" xr:uid="{00000000-0005-0000-0000-00009E000000}"/>
    <cellStyle name="?W準_RAO-S2" xfId="111" xr:uid="{00000000-0005-0000-0000-00009F000000}"/>
    <cellStyle name="?䅿뉀_x0010_?*?䅿뉀_x0010_?????_x0004_?͌ß마 _x0002_?䤔÷䠔÷_x0008__x0008_䠜÷????????_x0008_?_x0003_" xfId="112" xr:uid="{00000000-0005-0000-0000-0000A0000000}"/>
    <cellStyle name="?䅿뉀_x0010_?????_x0004_?͌ß마 _x0002_?䤔÷䠔÷_x0008__x0008_䠜÷????????_x0008_?_x0003_kkk͠_x0004_䠤" xfId="113" xr:uid="{00000000-0005-0000-0000-0000A1000000}"/>
    <cellStyle name="@ET_Style?@font-face" xfId="114" xr:uid="{00000000-0005-0000-0000-0000A2000000}"/>
    <cellStyle name="[" xfId="115" xr:uid="{00000000-0005-0000-0000-0000A3000000}"/>
    <cellStyle name="[ 2" xfId="116" xr:uid="{00000000-0005-0000-0000-0000A4000000}"/>
    <cellStyle name="[ 3" xfId="117" xr:uid="{00000000-0005-0000-0000-0000A5000000}"/>
    <cellStyle name="[0]" xfId="118" xr:uid="{00000000-0005-0000-0000-0000A6000000}"/>
    <cellStyle name="_ 2" xfId="119" xr:uid="{00000000-0005-0000-0000-0000A7000000}"/>
    <cellStyle name="_ 3" xfId="120" xr:uid="{00000000-0005-0000-0000-0000A8000000}"/>
    <cellStyle name="_?_97sales_hourly rate calculate0516'05 _hourly rate  _2007,2008年 HD 產能需求計劃03.08_hourly rate calculate032306_有插件機種" xfId="121" xr:uid="{00000000-0005-0000-0000-0000A9000000}"/>
    <cellStyle name="___~0014784" xfId="122" xr:uid="{00000000-0005-0000-0000-0000AA000000}"/>
    <cellStyle name="_~1916105 2" xfId="123" xr:uid="{00000000-0005-0000-0000-0000AB000000}"/>
    <cellStyle name="_~1916105 2 2" xfId="124" xr:uid="{00000000-0005-0000-0000-0000AC000000}"/>
    <cellStyle name="_~1916105 3" xfId="125" xr:uid="{00000000-0005-0000-0000-0000AD000000}"/>
    <cellStyle name="_~1916105 4" xfId="126" xr:uid="{00000000-0005-0000-0000-0000AE000000}"/>
    <cellStyle name="_~1916105_4551-000700-02" xfId="127" xr:uid="{00000000-0005-0000-0000-0000AF000000}"/>
    <cellStyle name="_~1916105_4551-000700-02 2 2" xfId="128" xr:uid="{00000000-0005-0000-0000-0000B0000000}"/>
    <cellStyle name="_~1916105_4551-000700-02 3" xfId="129" xr:uid="{00000000-0005-0000-0000-0000B1000000}"/>
    <cellStyle name="_~1916105_4551-000701-02 2 2" xfId="130" xr:uid="{00000000-0005-0000-0000-0000B2000000}"/>
    <cellStyle name="_~1916105_4551-000701-02 3" xfId="131" xr:uid="{00000000-0005-0000-0000-0000B3000000}"/>
    <cellStyle name="_~1916105_4551-012980-01 PDB" xfId="132" xr:uid="{00000000-0005-0000-0000-0000B4000000}"/>
    <cellStyle name="_~1916105_4551-012980-01 PDB 3" xfId="133" xr:uid="{00000000-0005-0000-0000-0000B5000000}"/>
    <cellStyle name="_~1916105_Front LED board 2" xfId="134" xr:uid="{00000000-0005-0000-0000-0000B6000000}"/>
    <cellStyle name="_~1916105_Riser_card 2 2" xfId="135" xr:uid="{00000000-0005-0000-0000-0000B7000000}"/>
    <cellStyle name="_~1916105_Riser_card 3" xfId="136" xr:uid="{00000000-0005-0000-0000-0000B8000000}"/>
    <cellStyle name="_~1916105_Sheet1 2" xfId="137" xr:uid="{00000000-0005-0000-0000-0000B9000000}"/>
    <cellStyle name="­_~4564123" xfId="138" xr:uid="{00000000-0005-0000-0000-0000BA000000}"/>
    <cellStyle name="_051209" xfId="139" xr:uid="{00000000-0005-0000-0000-0000BB000000}"/>
    <cellStyle name="_051209 2" xfId="140" xr:uid="{00000000-0005-0000-0000-0000BC000000}"/>
    <cellStyle name="_051209 3" xfId="141" xr:uid="{00000000-0005-0000-0000-0000BD000000}"/>
    <cellStyle name="_0708(RSC-R2UG-2E16&amp;R-X9)_4551-000700-02" xfId="142" xr:uid="{00000000-0005-0000-0000-0000BE000000}"/>
    <cellStyle name="_0708(RSC-R2UG-2E16&amp;R-X9)_PDB (4551-012980-00) &amp; PIB (4551-012970-00) &amp; front LED (4551-012990-00)Lan- 20140724 2" xfId="143" xr:uid="{00000000-0005-0000-0000-0000BF000000}"/>
    <cellStyle name="_0708(RSC-R2UG-2E16&amp;R-X9)_PDB (4551-012980-00) &amp; PIB (4551-012970-00) &amp; front LED (4551-012990-00)Lan- 20140724 3" xfId="144" xr:uid="{00000000-0005-0000-0000-0000C0000000}"/>
    <cellStyle name="_070807_Masterlist Furukawa Conn Assy rev 1" xfId="145" xr:uid="{00000000-0005-0000-0000-0000C1000000}"/>
    <cellStyle name="_11月薪资" xfId="146" xr:uid="{00000000-0005-0000-0000-0000C2000000}"/>
    <cellStyle name="_2701-000382-02(0529) 2 2" xfId="147" xr:uid="{00000000-0005-0000-0000-0000C3000000}"/>
    <cellStyle name="_2701-000382-02(0529)_4551-000700-02" xfId="148" xr:uid="{00000000-0005-0000-0000-0000C4000000}"/>
    <cellStyle name="_2701-000382-02(0529)_4551-000700-02 2 2" xfId="149" xr:uid="{00000000-0005-0000-0000-0000C5000000}"/>
    <cellStyle name="_337341SOP" xfId="150" xr:uid="{00000000-0005-0000-0000-0000C6000000}"/>
    <cellStyle name="_Aerosmith&amp;Ozzy CTB report wk1408-updated" xfId="151" xr:uid="{00000000-0005-0000-0000-0000C7000000}"/>
    <cellStyle name="_All BOM 3" xfId="152" xr:uid="{00000000-0005-0000-0000-0000C8000000}"/>
    <cellStyle name="_All BOM(0630)_4551-000700-02 2 2" xfId="153" xr:uid="{00000000-0005-0000-0000-0000C9000000}"/>
    <cellStyle name="_All BOM(0630)_PDB (4551-012980-00) &amp; PIB (4551-012970-00) &amp; front LED (4551-012990-00)Lan- 20140724 2" xfId="154" xr:uid="{00000000-0005-0000-0000-0000CA000000}"/>
    <cellStyle name="_ALL PRICE LIST" xfId="155" xr:uid="{00000000-0005-0000-0000-0000CB000000}"/>
    <cellStyle name="_All SMC 0711_PDB (4551-012980-00) &amp; PIB (4551-012970-00) &amp; front LED (4551-012990-00)Lan- 20140724 2" xfId="156" xr:uid="{00000000-0005-0000-0000-0000CC000000}"/>
    <cellStyle name="_AOC-S2308L-L8i(0803)_4551-000701-02 3" xfId="157" xr:uid="{00000000-0005-0000-0000-0000CD000000}"/>
    <cellStyle name="_AOC-SAS2G3LP-H8iR_100_20110416 2 2" xfId="158" xr:uid="{00000000-0005-0000-0000-0000CE000000}"/>
    <cellStyle name="_AOC-SAS2G3LP-H8iR_100_20110416_4551-000700-02 2 2" xfId="159" xr:uid="{00000000-0005-0000-0000-0000CF000000}"/>
    <cellStyle name="_B7DBE R1.3 Quotation 1213-07 for Q1'08_4551-000700-02 2 2" xfId="160" xr:uid="{00000000-0005-0000-0000-0000D0000000}"/>
    <cellStyle name="_B8DTG R1.00 Quotation 0728-10 2" xfId="161" xr:uid="{00000000-0005-0000-0000-0000D1000000}"/>
    <cellStyle name="_B8DTG R1.00 Quotation 0728-10 56" xfId="162" xr:uid="{00000000-0005-0000-0000-0000D2000000}"/>
    <cellStyle name="_B8DTG R1.00 Quotation 0728-10_4551-000700-02" xfId="163" xr:uid="{00000000-0005-0000-0000-0000D3000000}"/>
    <cellStyle name="_B8DTG R1.00 Quotation 0728-10_Front LED board 2" xfId="164" xr:uid="{00000000-0005-0000-0000-0000D4000000}"/>
    <cellStyle name="_Barcelona RFI response 1110 2006__BP 8x2.5" xfId="165" xr:uid="{00000000-0005-0000-0000-0000D5000000}"/>
    <cellStyle name="_Barcelona-Islay RFQ Response 1221 2006__BP 8x2.5" xfId="166" xr:uid="{00000000-0005-0000-0000-0000D6000000}"/>
    <cellStyle name="_Bling Bling RFI Quotation 11-10-07 __BP 8x2.5" xfId="167" xr:uid="{00000000-0005-0000-0000-0000D7000000}"/>
    <cellStyle name="_BOM cost  include CC part price to Weijie Nissan Y89  Y90- 03122008" xfId="168" xr:uid="{00000000-0005-0000-0000-0000D8000000}"/>
    <cellStyle name="_BOM_1" xfId="169" xr:uid="{00000000-0005-0000-0000-0000D9000000}"/>
    <cellStyle name="_bsx-exb-ld-001(12.1)_exb_ite_bom" xfId="170" xr:uid="{00000000-0005-0000-0000-0000DA000000}"/>
    <cellStyle name="_Capacity Model Chaidez as of 1018 2" xfId="171" xr:uid="{00000000-0005-0000-0000-0000DB000000}"/>
    <cellStyle name="_x001e__Consolidated RFQ List 2012 (New)" xfId="172" xr:uid="{00000000-0005-0000-0000-0000DC000000}"/>
    <cellStyle name="_Copy of shortage Demand template-Jun29's MRP as of July 5" xfId="173" xr:uid="{00000000-0005-0000-0000-0000DD000000}"/>
    <cellStyle name="_CT TU 4D56현황BHJN-SJN보고완" xfId="174" xr:uid="{00000000-0005-0000-0000-0000DE000000}"/>
    <cellStyle name="_delday9902" xfId="175" xr:uid="{00000000-0005-0000-0000-0000DF000000}"/>
    <cellStyle name="_Exp_Guad UT Pbom Bridge IN to UT 4_2_04" xfId="176" xr:uid="{00000000-0005-0000-0000-0000E0000000}"/>
    <cellStyle name="_FY04 Q2 FDM Costed BOM Final" xfId="177" xr:uid="{00000000-0005-0000-0000-0000E1000000}"/>
    <cellStyle name="_Ghidorah daily report_20101012" xfId="178" xr:uid="{00000000-0005-0000-0000-0000E2000000}"/>
    <cellStyle name="_JDSU Master Forecast All ( Sep 14)" xfId="179" xr:uid="{00000000-0005-0000-0000-0000E3000000}"/>
    <cellStyle name="_PDSM4 R3.0 RoHS Quotation 1213-07 for Q1'08_PDB (4551-012980-01) &amp; PIB (4551-012970-01) &amp; front LED (4551-012990-01) Coleman 20140730 2" xfId="180" xr:uid="{00000000-0005-0000-0000-0000E4000000}"/>
    <cellStyle name="_PDSML-E+ R1.01 Quotation 0730-08_Sheet1 2" xfId="181" xr:uid="{00000000-0005-0000-0000-0000E5000000}"/>
    <cellStyle name="_Piranha _ May Quotation_ 20100422 2" xfId="182" xr:uid="{00000000-0005-0000-0000-0000E6000000}"/>
    <cellStyle name="_RED-C hour" xfId="183" xr:uid="{00000000-0005-0000-0000-0000E7000000}"/>
    <cellStyle name="_Sample request_1_4551-000701-02 2" xfId="184" xr:uid="{00000000-0005-0000-0000-0000E8000000}"/>
    <cellStyle name="_Sample Status_PDB (4551-012980-00) &amp; PIB (4551-012970-00) &amp; front LED (4551-012990-00)Lan- 20140724 2 2" xfId="185" xr:uid="{00000000-0005-0000-0000-0000E9000000}"/>
    <cellStyle name="_Sheet1_5" xfId="186" xr:uid="{00000000-0005-0000-0000-0000EA000000}"/>
    <cellStyle name="_TurinTestItems V0 3-7" xfId="187" xr:uid="{00000000-0005-0000-0000-0000EB000000}"/>
    <cellStyle name="_TurinTestItems V0 3-7 2" xfId="188" xr:uid="{00000000-0005-0000-0000-0000EC000000}"/>
    <cellStyle name="_x005f_x000a__x005f_x000a_JournalTemplate=C:\COMFO\CTALK\JOURSTD.TPL_x005f_x000a__x005f_x000a_LbStateAddress=3 3 0 251 1 89 2 311_x005f_x000a__x005f_x000a_LbStateJou 2" xfId="189" xr:uid="{00000000-0005-0000-0000-0000ED000000}"/>
    <cellStyle name="_x005f_x000d__x005f_x000a_JournalTemplate=C:\COMFO\CTALK\JOURSTD.TPL_x005f_x000d__x005f_x000a_LbStateAddress=3 3 0 251 1 89 2 311_x005f_x000d__x005f_x000a_LbStateJou 2 2" xfId="190" xr:uid="{00000000-0005-0000-0000-0000EE000000}"/>
    <cellStyle name="_X8DT6_13_20090617 2 2" xfId="191" xr:uid="{00000000-0005-0000-0000-0000EF000000}"/>
    <cellStyle name="_输送轨道" xfId="192" xr:uid="{00000000-0005-0000-0000-0000F0000000}"/>
    <cellStyle name="{" xfId="193" xr:uid="{00000000-0005-0000-0000-0000F1000000}"/>
    <cellStyle name="´" xfId="194" xr:uid="{00000000-0005-0000-0000-0000F2000000}"/>
    <cellStyle name="’?‰? [0.00]_011003 Attaachment3" xfId="195" xr:uid="{00000000-0005-0000-0000-0000F3000000}"/>
    <cellStyle name="’?‰?_011003 Attaachment3" xfId="196" xr:uid="{00000000-0005-0000-0000-0000F4000000}"/>
    <cellStyle name="’E・Y [0.00]_?`?p?O???´・??\" xfId="197" xr:uid="{00000000-0005-0000-0000-0000F5000000}"/>
    <cellStyle name="’E・Y_?`?p?O???´・??\" xfId="198" xr:uid="{00000000-0005-0000-0000-0000F6000000}"/>
    <cellStyle name="’Ê‰Ý [0.00]_!!!GO" xfId="199" xr:uid="{00000000-0005-0000-0000-0000F7000000}"/>
    <cellStyle name="’Ê‰Ý_!!!GO" xfId="200" xr:uid="{00000000-0005-0000-0000-0000F8000000}"/>
    <cellStyle name="–¢’è‹`" xfId="201" xr:uid="{00000000-0005-0000-0000-0000F9000000}"/>
    <cellStyle name="「" xfId="202" xr:uid="{00000000-0005-0000-0000-0000FA000000}"/>
    <cellStyle name="＝g" xfId="203" xr:uid="{00000000-0005-0000-0000-0000FB000000}"/>
    <cellStyle name="＝g潤ﾊ吹h“_1?…" xfId="204" xr:uid="{00000000-0005-0000-0000-0000FC000000}"/>
    <cellStyle name="»" xfId="205" xr:uid="{00000000-0005-0000-0000-0000FD000000}"/>
    <cellStyle name="¶W³sµ²" xfId="206" xr:uid="{00000000-0005-0000-0000-0000FE000000}"/>
    <cellStyle name="・・_Sheet1" xfId="207" xr:uid="{00000000-0005-0000-0000-0000FF000000}"/>
    <cellStyle name="•\Ž¦Ï‚Ý‚ÌƒnƒCƒp[ƒŠƒ“ƒN" xfId="208" xr:uid="{00000000-0005-0000-0000-000000010000}"/>
    <cellStyle name="•W_Att4_94S$BAuHwI(J-980303$B2~D{(J" xfId="209" xr:uid="{00000000-0005-0000-0000-000001010000}"/>
    <cellStyle name="" xfId="210" xr:uid="{00000000-0005-0000-0000-000002010000}"/>
    <cellStyle name="" xfId="211" xr:uid="{00000000-0005-0000-0000-000003010000}"/>
    <cellStyle name="\¦ÏÝÌnCp[N" xfId="212" xr:uid="{00000000-0005-0000-0000-000004010000}"/>
    <cellStyle name="_~4564123" xfId="213" xr:uid="{00000000-0005-0000-0000-000005010000}"/>
    <cellStyle name="_~4564123 4" xfId="214" xr:uid="{00000000-0005-0000-0000-000006010000}"/>
    <cellStyle name="_DongShan-TJUTA-RISER2_X16-BBFVPASS1-BOM-X01-20100916_2" xfId="215" xr:uid="{00000000-0005-0000-0000-000007010000}"/>
    <cellStyle name="_DONGSHAN-Yulara-STCPASS3-BOM-X06-20110325_CE_20110415(Temp)" xfId="216" xr:uid="{00000000-0005-0000-0000-000008010000}"/>
    <cellStyle name="aOe [0.00]_Attachment 2 (2)" xfId="217" xr:uid="{00000000-0005-0000-0000-000009010000}"/>
    <cellStyle name="aOe_Attachment 2 (2)" xfId="218" xr:uid="{00000000-0005-0000-0000-00000A010000}"/>
    <cellStyle name="EY [0.00]_Attachment 2 (2)" xfId="219" xr:uid="{00000000-0005-0000-0000-00000B010000}"/>
    <cellStyle name="ÊÝ [0.00]_DENSOº½Ä" xfId="220" xr:uid="{00000000-0005-0000-0000-00000C010000}"/>
    <cellStyle name="ÊÝ_-1" xfId="221" xr:uid="{00000000-0005-0000-0000-00000D010000}"/>
    <cellStyle name="EY_Attachment 2 (2)" xfId="222" xr:uid="{00000000-0005-0000-0000-00000E010000}"/>
    <cellStyle name="fEEY [0.00]_currentKC GL" xfId="223" xr:uid="{00000000-0005-0000-0000-00000F010000}"/>
    <cellStyle name="fEEY_currentKC GL" xfId="224" xr:uid="{00000000-0005-0000-0000-000010010000}"/>
    <cellStyle name="nCp[N" xfId="225" xr:uid="{00000000-0005-0000-0000-000011010000}"/>
    <cellStyle name="W_[Uø¦" xfId="226" xr:uid="{00000000-0005-0000-0000-000012010000}"/>
    <cellStyle name="0" xfId="227" xr:uid="{00000000-0005-0000-0000-000013010000}"/>
    <cellStyle name="0.00" xfId="228" xr:uid="{00000000-0005-0000-0000-000014010000}"/>
    <cellStyle name="0????_x000a_" xfId="229" xr:uid="{00000000-0005-0000-0000-000015010000}"/>
    <cellStyle name="0????_x000a_???" xfId="230" xr:uid="{00000000-0005-0000-0000-000016010000}"/>
    <cellStyle name="0?t??吹h??" xfId="231" xr:uid="{00000000-0005-0000-0000-000017010000}"/>
    <cellStyle name="0_◆J48J EU_JPN_質量ﾚﾍﾞﾙ" xfId="232" xr:uid="{00000000-0005-0000-0000-000018010000}"/>
    <cellStyle name="0_◆J48J EU_JPN_質量ﾚﾍﾞﾙ_Sheet2" xfId="233" xr:uid="{00000000-0005-0000-0000-000019010000}"/>
    <cellStyle name="0_010712操安ｸﾞﾗﾌ" xfId="234" xr:uid="{00000000-0005-0000-0000-00001A010000}"/>
    <cellStyle name="0_010712操安ｸﾞﾗﾌ_CAA J73 CP" xfId="235" xr:uid="{00000000-0005-0000-0000-00001B010000}"/>
    <cellStyle name="0_010712操安ｸﾞﾗﾌ_CAA J73 CP_Sheet2" xfId="236" xr:uid="{00000000-0005-0000-0000-00001C010000}"/>
    <cellStyle name="0_010712操安ｸﾞﾗﾌ_Sheet2" xfId="237" xr:uid="{00000000-0005-0000-0000-00001D010000}"/>
    <cellStyle name="0_12-1b Review Weight-revised" xfId="238" xr:uid="{00000000-0005-0000-0000-00001E010000}"/>
    <cellStyle name="0_12-1b Review Weight-revised_CAA J73 CP" xfId="239" xr:uid="{00000000-0005-0000-0000-00001F010000}"/>
    <cellStyle name="0_12-1b Review Weight-revised_CAA J73 CP_Sheet2" xfId="240" xr:uid="{00000000-0005-0000-0000-000020010000}"/>
    <cellStyle name="0_12-1b Review Weight-revised_Sheet2" xfId="241" xr:uid="{00000000-0005-0000-0000-000021010000}"/>
    <cellStyle name="0_Book1" xfId="242" xr:uid="{00000000-0005-0000-0000-000022010000}"/>
    <cellStyle name="0_Book1_Sheet2" xfId="243" xr:uid="{00000000-0005-0000-0000-000023010000}"/>
    <cellStyle name="0_FSS-W1124-T-EJ" xfId="244" xr:uid="{00000000-0005-0000-0000-000024010000}"/>
    <cellStyle name="0_FSS-W1124-T-EJ_CAA J73 CP" xfId="245" xr:uid="{00000000-0005-0000-0000-000025010000}"/>
    <cellStyle name="0_FSS-W1124-T-EJ_CAA J73 CP_Sheet2" xfId="246" xr:uid="{00000000-0005-0000-0000-000026010000}"/>
    <cellStyle name="0_FSS-W1124-T-EJ_Sheet2" xfId="247" xr:uid="{00000000-0005-0000-0000-000027010000}"/>
    <cellStyle name="0_J04Assumption_PrePPS_010412_CPED_CAA J73 CP" xfId="248" xr:uid="{00000000-0005-0000-0000-000028010000}"/>
    <cellStyle name="0_J37E PIP Panel 5" xfId="249" xr:uid="{00000000-0005-0000-0000-000029010000}"/>
    <cellStyle name="0_J37E PIP Panel 5_J48J-PTS_PTA_Panel_08 Craftship(JE)3fin済" xfId="250" xr:uid="{00000000-0005-0000-0000-00002A010000}"/>
    <cellStyle name="0_J37E PIP Panel 5_J48J-PTS_PTA_Panel_08 Craftship(JE)3fin済_CAA J73 CP" xfId="251" xr:uid="{00000000-0005-0000-0000-00002B010000}"/>
    <cellStyle name="0_J37E PIP Panel 5_J48J-PTS_PTA_Panel_08 Craftship(JE)3fin済_CAA J73 CP_Sheet2" xfId="252" xr:uid="{00000000-0005-0000-0000-00002C010000}"/>
    <cellStyle name="0_J37E PIP Panel 5_J48J-PTS_PTA_Panel_08 Craftship(JE)3fin済_Sheet2" xfId="253" xr:uid="{00000000-0005-0000-0000-00002D010000}"/>
    <cellStyle name="0_J48J 06Green投資見積依頼書" xfId="254" xr:uid="{00000000-0005-0000-0000-00002E010000}"/>
    <cellStyle name="0_J48J 06Green投資見積依頼書_CAA J73 CP" xfId="255" xr:uid="{00000000-0005-0000-0000-00002F010000}"/>
    <cellStyle name="0_J48J 06Green投資見積依頼書_CAA J73 CP_Sheet2" xfId="256" xr:uid="{00000000-0005-0000-0000-000030010000}"/>
    <cellStyle name="0_J48J 06Green投資見積依頼書_Sheet2" xfId="257" xr:uid="{00000000-0005-0000-0000-000031010000}"/>
    <cellStyle name="0_J48J-PTS_PTA_Panel_08 Craftship(JE)3fin済" xfId="258" xr:uid="{00000000-0005-0000-0000-000032010000}"/>
    <cellStyle name="0_J48J-PTS_PTA_Panel_08 Craftship(JE)3fin済_CAA J73 CP" xfId="259" xr:uid="{00000000-0005-0000-0000-000033010000}"/>
    <cellStyle name="0_J48J-PTS_PTA_Panel_08 Craftship(JE)3fin済_CAA J73 CP_Sheet2" xfId="260" xr:uid="{00000000-0005-0000-0000-000034010000}"/>
    <cellStyle name="0_J48J-PTS_PTA_Panel_08 Craftship(JE)3fin済_Sheet2" xfId="261" xr:uid="{00000000-0005-0000-0000-000035010000}"/>
    <cellStyle name="0_J60 PIA ME Canada Final 01-04-13" xfId="262" xr:uid="{00000000-0005-0000-0000-000036010000}"/>
    <cellStyle name="0_J60_F&amp;O" xfId="263" xr:uid="{00000000-0005-0000-0000-000037010000}"/>
    <cellStyle name="0_J60_F&amp;O_CAA J73 CP" xfId="264" xr:uid="{00000000-0005-0000-0000-000038010000}"/>
    <cellStyle name="0_J60_F&amp;O_CAA J73 CP_Sheet2" xfId="265" xr:uid="{00000000-0005-0000-0000-000039010000}"/>
    <cellStyle name="0_J60_F&amp;O_Sheet2" xfId="266" xr:uid="{00000000-0005-0000-0000-00003A010000}"/>
    <cellStyle name="0_J60MEDraft991007_CAA J73 CP" xfId="267" xr:uid="{00000000-0005-0000-0000-00003B010000}"/>
    <cellStyle name="0_J60MEDraft991007_CAA J73 CP_Sheet2" xfId="268" xr:uid="{00000000-0005-0000-0000-00003C010000}"/>
    <cellStyle name="0_Newest 011001_3PPM日程" xfId="269" xr:uid="{00000000-0005-0000-0000-00003D010000}"/>
    <cellStyle name="0_Newest 011001_3PPM日程_CAA J73 CP" xfId="270" xr:uid="{00000000-0005-0000-0000-00003E010000}"/>
    <cellStyle name="0_Newest 011001_3PPM日程_CAA J73 CP_Sheet2" xfId="271" xr:uid="{00000000-0005-0000-0000-00003F010000}"/>
    <cellStyle name="0_Newest 011001_3PPM日程_Sheet2" xfId="272" xr:uid="{00000000-0005-0000-0000-000040010000}"/>
    <cellStyle name="0_RFQ_template_draft" xfId="273" xr:uid="{00000000-0005-0000-0000-000041010000}"/>
    <cellStyle name="0_XX98CALB" xfId="274" xr:uid="{00000000-0005-0000-0000-000042010000}"/>
    <cellStyle name="0_XX98CALB_Book1" xfId="275" xr:uid="{00000000-0005-0000-0000-000043010000}"/>
    <cellStyle name="0_XX98CALB_Book1_Sheet2" xfId="276" xr:uid="{00000000-0005-0000-0000-000044010000}"/>
    <cellStyle name="0_XX98CALB_RFQ_template_draft" xfId="277" xr:uid="{00000000-0005-0000-0000-000045010000}"/>
    <cellStyle name="0_XX98CALB_RFQ_template_draft_Sheet2" xfId="278" xr:uid="{00000000-0005-0000-0000-000046010000}"/>
    <cellStyle name="0_質量ロードマップ（全体まとめ）1-15" xfId="279" xr:uid="{00000000-0005-0000-0000-000047010000}"/>
    <cellStyle name="0_質量ロードマップ（全体まとめ）1-15_CAA J73 CP" xfId="280" xr:uid="{00000000-0005-0000-0000-000048010000}"/>
    <cellStyle name="0_質量ロードマップ（全体まとめ）1-15_CAA J73 CP_Sheet2" xfId="281" xr:uid="{00000000-0005-0000-0000-000049010000}"/>
    <cellStyle name="0_質量ロードマップ（全体まとめ）1-15_Sheet2" xfId="282" xr:uid="{00000000-0005-0000-0000-00004A010000}"/>
    <cellStyle name="000" xfId="283" xr:uid="{00000000-0005-0000-0000-00004B010000}"/>
    <cellStyle name="010" xfId="284" xr:uid="{00000000-0005-0000-0000-00004C010000}"/>
    <cellStyle name="0付・数字" xfId="285" xr:uid="{00000000-0005-0000-0000-00004D010000}"/>
    <cellStyle name="½" xfId="286" xr:uid="{00000000-0005-0000-0000-00004E010000}"/>
    <cellStyle name="½_DongShan-TJUTA-RISER2_X16-BBFVPASS1-BOM-X01-20100916" xfId="287" xr:uid="{00000000-0005-0000-0000-00004F010000}"/>
    <cellStyle name="¹" xfId="288" xr:uid="{00000000-0005-0000-0000-000050010000}"/>
    <cellStyle name="1991-" xfId="289" xr:uid="{00000000-0005-0000-0000-000051010000}"/>
    <cellStyle name="1st indent" xfId="290" xr:uid="{00000000-0005-0000-0000-000052010000}"/>
    <cellStyle name="20 % - Accent1" xfId="291" xr:uid="{00000000-0005-0000-0000-000053010000}"/>
    <cellStyle name="20 % - Accent2" xfId="292" xr:uid="{00000000-0005-0000-0000-000054010000}"/>
    <cellStyle name="20 % - Accent3" xfId="293" xr:uid="{00000000-0005-0000-0000-000055010000}"/>
    <cellStyle name="20 % - Accent4" xfId="294" xr:uid="{00000000-0005-0000-0000-000056010000}"/>
    <cellStyle name="20 % - Accent5" xfId="295" xr:uid="{00000000-0005-0000-0000-000057010000}"/>
    <cellStyle name="20 % - Accent6" xfId="296" xr:uid="{00000000-0005-0000-0000-000058010000}"/>
    <cellStyle name="20% - ??文字?色 1 2" xfId="297" xr:uid="{00000000-0005-0000-0000-000059010000}"/>
    <cellStyle name="20% - ??文字?色 2 2" xfId="298" xr:uid="{00000000-0005-0000-0000-00005A010000}"/>
    <cellStyle name="20% - ??文字?色 3 2" xfId="299" xr:uid="{00000000-0005-0000-0000-00005B010000}"/>
    <cellStyle name="20% - ??文字?色 4 2" xfId="300" xr:uid="{00000000-0005-0000-0000-00005C010000}"/>
    <cellStyle name="20% - ??文字?色 5 2" xfId="301" xr:uid="{00000000-0005-0000-0000-00005D010000}"/>
    <cellStyle name="20% - ??文字?色 6 2" xfId="302" xr:uid="{00000000-0005-0000-0000-00005E010000}"/>
    <cellStyle name="20% - Accent1" xfId="303" xr:uid="{00000000-0005-0000-0000-00005F010000}"/>
    <cellStyle name="20% - Accent1 10 2" xfId="304" xr:uid="{00000000-0005-0000-0000-000060010000}"/>
    <cellStyle name="20% - Accent1 2_All SMC 20140314-miranda" xfId="305" xr:uid="{00000000-0005-0000-0000-000061010000}"/>
    <cellStyle name="20% - Accent2" xfId="306" xr:uid="{00000000-0005-0000-0000-000062010000}"/>
    <cellStyle name="20% - Accent2 10 2" xfId="307" xr:uid="{00000000-0005-0000-0000-000063010000}"/>
    <cellStyle name="20% - Accent2 2 3" xfId="308" xr:uid="{00000000-0005-0000-0000-000064010000}"/>
    <cellStyle name="20% - Accent2 2_All SMC 20140314-miranda" xfId="309" xr:uid="{00000000-0005-0000-0000-000065010000}"/>
    <cellStyle name="20% - Accent2 73" xfId="310" xr:uid="{00000000-0005-0000-0000-000066010000}"/>
    <cellStyle name="20% - Accent2 74" xfId="311" xr:uid="{00000000-0005-0000-0000-000067010000}"/>
    <cellStyle name="20% - Accent3" xfId="312" xr:uid="{00000000-0005-0000-0000-000068010000}"/>
    <cellStyle name="20% - Accent3 10 2" xfId="313" xr:uid="{00000000-0005-0000-0000-000069010000}"/>
    <cellStyle name="20% - Accent3 2_All SMC 20140314-miranda" xfId="314" xr:uid="{00000000-0005-0000-0000-00006A010000}"/>
    <cellStyle name="20% - Accent4" xfId="315" xr:uid="{00000000-0005-0000-0000-00006B010000}"/>
    <cellStyle name="20% - Accent4 2_All SMC 20140314-miranda" xfId="316" xr:uid="{00000000-0005-0000-0000-00006C010000}"/>
    <cellStyle name="20% - Accent5" xfId="317" xr:uid="{00000000-0005-0000-0000-00006D010000}"/>
    <cellStyle name="20% - Accent5 10 2" xfId="318" xr:uid="{00000000-0005-0000-0000-00006E010000}"/>
    <cellStyle name="20% - Accent6" xfId="319" xr:uid="{00000000-0005-0000-0000-00006F010000}"/>
    <cellStyle name="20% - アクセント 1" xfId="320" xr:uid="{00000000-0005-0000-0000-000070010000}"/>
    <cellStyle name="20% - アクセント 2" xfId="321" xr:uid="{00000000-0005-0000-0000-000071010000}"/>
    <cellStyle name="20% - アクセント 3" xfId="322" xr:uid="{00000000-0005-0000-0000-000072010000}"/>
    <cellStyle name="20% - アクセント 4" xfId="323" xr:uid="{00000000-0005-0000-0000-000073010000}"/>
    <cellStyle name="20% - アクセント 5" xfId="324" xr:uid="{00000000-0005-0000-0000-000074010000}"/>
    <cellStyle name="20% - アクセント 6" xfId="325" xr:uid="{00000000-0005-0000-0000-000075010000}"/>
    <cellStyle name="20% - 강조색1" xfId="326" xr:uid="{00000000-0005-0000-0000-000076010000}"/>
    <cellStyle name="20% - 강조색2" xfId="327" xr:uid="{00000000-0005-0000-0000-000077010000}"/>
    <cellStyle name="20% - 강조색3" xfId="328" xr:uid="{00000000-0005-0000-0000-000078010000}"/>
    <cellStyle name="20% - 강조색4" xfId="329" xr:uid="{00000000-0005-0000-0000-000079010000}"/>
    <cellStyle name="20% - 강조색5" xfId="330" xr:uid="{00000000-0005-0000-0000-00007A010000}"/>
    <cellStyle name="20% - 강조색6" xfId="331" xr:uid="{00000000-0005-0000-0000-00007B010000}"/>
    <cellStyle name="20% - 輔色1" xfId="332" xr:uid="{00000000-0005-0000-0000-00007C010000}"/>
    <cellStyle name="20% - 輔色1 13" xfId="333" xr:uid="{00000000-0005-0000-0000-00007D010000}"/>
    <cellStyle name="20% - 輔色1 14 2" xfId="334" xr:uid="{00000000-0005-0000-0000-00007E010000}"/>
    <cellStyle name="20% - 輔色1 15" xfId="335" xr:uid="{00000000-0005-0000-0000-00007F010000}"/>
    <cellStyle name="20% - 輔色1 16" xfId="336" xr:uid="{00000000-0005-0000-0000-000080010000}"/>
    <cellStyle name="20% - 輔色1 2" xfId="337" xr:uid="{00000000-0005-0000-0000-000081010000}"/>
    <cellStyle name="20% - 輔色1 2 2_4551-000700-02" xfId="338" xr:uid="{00000000-0005-0000-0000-000082010000}"/>
    <cellStyle name="20% - 輔色1 3 6" xfId="339" xr:uid="{00000000-0005-0000-0000-000083010000}"/>
    <cellStyle name="20% - 輔色1 46" xfId="340" xr:uid="{00000000-0005-0000-0000-000084010000}"/>
    <cellStyle name="20% - 輔色2" xfId="341" xr:uid="{00000000-0005-0000-0000-000085010000}"/>
    <cellStyle name="20% - 輔色2 13" xfId="342" xr:uid="{00000000-0005-0000-0000-000086010000}"/>
    <cellStyle name="20% - 輔色2 14 2" xfId="343" xr:uid="{00000000-0005-0000-0000-000087010000}"/>
    <cellStyle name="20% - 輔色2 15" xfId="344" xr:uid="{00000000-0005-0000-0000-000088010000}"/>
    <cellStyle name="20% - 輔色2 16" xfId="345" xr:uid="{00000000-0005-0000-0000-000089010000}"/>
    <cellStyle name="20% - 輔色2 2" xfId="346" xr:uid="{00000000-0005-0000-0000-00008A010000}"/>
    <cellStyle name="20% - 輔色2 2 2_4551-000700-02" xfId="347" xr:uid="{00000000-0005-0000-0000-00008B010000}"/>
    <cellStyle name="20% - 輔色2 3 6" xfId="348" xr:uid="{00000000-0005-0000-0000-00008C010000}"/>
    <cellStyle name="20% - 輔色2 46" xfId="349" xr:uid="{00000000-0005-0000-0000-00008D010000}"/>
    <cellStyle name="20% - 輔色3" xfId="350" xr:uid="{00000000-0005-0000-0000-00008E010000}"/>
    <cellStyle name="20% - 輔色3 13" xfId="351" xr:uid="{00000000-0005-0000-0000-00008F010000}"/>
    <cellStyle name="20% - 輔色3 14 2" xfId="352" xr:uid="{00000000-0005-0000-0000-000090010000}"/>
    <cellStyle name="20% - 輔色3 15" xfId="353" xr:uid="{00000000-0005-0000-0000-000091010000}"/>
    <cellStyle name="20% - 輔色3 16" xfId="354" xr:uid="{00000000-0005-0000-0000-000092010000}"/>
    <cellStyle name="20% - 輔色3 2" xfId="355" xr:uid="{00000000-0005-0000-0000-000093010000}"/>
    <cellStyle name="20% - 輔色3 2 2_4551-000700-02" xfId="356" xr:uid="{00000000-0005-0000-0000-000094010000}"/>
    <cellStyle name="20% - 輔色3 3 6" xfId="357" xr:uid="{00000000-0005-0000-0000-000095010000}"/>
    <cellStyle name="20% - 輔色3 46" xfId="358" xr:uid="{00000000-0005-0000-0000-000096010000}"/>
    <cellStyle name="20% - 輔色4 13" xfId="359" xr:uid="{00000000-0005-0000-0000-000097010000}"/>
    <cellStyle name="20% - 輔色4 14 2" xfId="360" xr:uid="{00000000-0005-0000-0000-000098010000}"/>
    <cellStyle name="20% - 輔色4 15" xfId="361" xr:uid="{00000000-0005-0000-0000-000099010000}"/>
    <cellStyle name="20% - 輔色4 16" xfId="362" xr:uid="{00000000-0005-0000-0000-00009A010000}"/>
    <cellStyle name="20% - 輔色4 2" xfId="363" xr:uid="{00000000-0005-0000-0000-00009B010000}"/>
    <cellStyle name="20% - 輔色4 2 2_4551-000700-02" xfId="364" xr:uid="{00000000-0005-0000-0000-00009C010000}"/>
    <cellStyle name="20% - 輔色4 3 6" xfId="365" xr:uid="{00000000-0005-0000-0000-00009D010000}"/>
    <cellStyle name="20% - 輔色4 46" xfId="366" xr:uid="{00000000-0005-0000-0000-00009E010000}"/>
    <cellStyle name="20% - 輔色5" xfId="367" xr:uid="{00000000-0005-0000-0000-00009F010000}"/>
    <cellStyle name="20% - 輔色5 13" xfId="368" xr:uid="{00000000-0005-0000-0000-0000A0010000}"/>
    <cellStyle name="20% - 輔色5 14 2" xfId="369" xr:uid="{00000000-0005-0000-0000-0000A1010000}"/>
    <cellStyle name="20% - 輔色5 15" xfId="370" xr:uid="{00000000-0005-0000-0000-0000A2010000}"/>
    <cellStyle name="20% - 輔色5 16" xfId="371" xr:uid="{00000000-0005-0000-0000-0000A3010000}"/>
    <cellStyle name="20% - 輔色5 2" xfId="372" xr:uid="{00000000-0005-0000-0000-0000A4010000}"/>
    <cellStyle name="20% - 輔色5 2 2_4551-000700-02" xfId="373" xr:uid="{00000000-0005-0000-0000-0000A5010000}"/>
    <cellStyle name="20% - 輔色5 3 6" xfId="374" xr:uid="{00000000-0005-0000-0000-0000A6010000}"/>
    <cellStyle name="20% - 輔色5 46" xfId="375" xr:uid="{00000000-0005-0000-0000-0000A7010000}"/>
    <cellStyle name="20% - 輔色6 13" xfId="376" xr:uid="{00000000-0005-0000-0000-0000A8010000}"/>
    <cellStyle name="20% - 輔色6 14 2" xfId="377" xr:uid="{00000000-0005-0000-0000-0000A9010000}"/>
    <cellStyle name="20% - 輔色6 15" xfId="378" xr:uid="{00000000-0005-0000-0000-0000AA010000}"/>
    <cellStyle name="20% - 輔色6 16" xfId="379" xr:uid="{00000000-0005-0000-0000-0000AB010000}"/>
    <cellStyle name="20% - 輔色6 2" xfId="380" xr:uid="{00000000-0005-0000-0000-0000AC010000}"/>
    <cellStyle name="20% - 輔色6 2 2_4551-000700-02" xfId="381" xr:uid="{00000000-0005-0000-0000-0000AD010000}"/>
    <cellStyle name="20% - 輔色6 3 6" xfId="382" xr:uid="{00000000-0005-0000-0000-0000AE010000}"/>
    <cellStyle name="20% - 輔色6 46" xfId="383" xr:uid="{00000000-0005-0000-0000-0000AF010000}"/>
    <cellStyle name="20% - 强调文字颜色 1 10" xfId="384" xr:uid="{00000000-0005-0000-0000-0000B0010000}"/>
    <cellStyle name="20% - 强调文字颜色 1 10 6" xfId="385" xr:uid="{00000000-0005-0000-0000-0000B1010000}"/>
    <cellStyle name="20% - 强调文字颜色 1 2 15" xfId="386" xr:uid="{00000000-0005-0000-0000-0000B2010000}"/>
    <cellStyle name="20% - 强调文字颜色 1 24" xfId="387" xr:uid="{00000000-0005-0000-0000-0000B3010000}"/>
    <cellStyle name="20% - 强调文字颜色 1 26" xfId="388" xr:uid="{00000000-0005-0000-0000-0000B4010000}"/>
    <cellStyle name="20% - 强调文字颜色 2 10" xfId="389" xr:uid="{00000000-0005-0000-0000-0000B5010000}"/>
    <cellStyle name="20% - 强调文字颜色 2 2 14" xfId="390" xr:uid="{00000000-0005-0000-0000-0000B6010000}"/>
    <cellStyle name="20% - 强调文字颜色 2 24" xfId="391" xr:uid="{00000000-0005-0000-0000-0000B7010000}"/>
    <cellStyle name="20% - 强调文字颜色 2 26" xfId="392" xr:uid="{00000000-0005-0000-0000-0000B8010000}"/>
    <cellStyle name="20% - 强调文字颜色 3 10" xfId="393" xr:uid="{00000000-0005-0000-0000-0000B9010000}"/>
    <cellStyle name="20% - 强调文字颜色 3 2 2 4" xfId="394" xr:uid="{00000000-0005-0000-0000-0000BA010000}"/>
    <cellStyle name="20% - 强调文字颜色 3 24" xfId="395" xr:uid="{00000000-0005-0000-0000-0000BB010000}"/>
    <cellStyle name="20% - 强调文字颜色 3 26" xfId="396" xr:uid="{00000000-0005-0000-0000-0000BC010000}"/>
    <cellStyle name="20% - 强调文字颜色 3 4 4" xfId="397" xr:uid="{00000000-0005-0000-0000-0000BD010000}"/>
    <cellStyle name="20% - 强调文字颜色 4 10" xfId="398" xr:uid="{00000000-0005-0000-0000-0000BE010000}"/>
    <cellStyle name="20% - 强调文字颜色 4 2 2 4" xfId="399" xr:uid="{00000000-0005-0000-0000-0000BF010000}"/>
    <cellStyle name="20% - 强调文字颜色 4 24" xfId="400" xr:uid="{00000000-0005-0000-0000-0000C0010000}"/>
    <cellStyle name="20% - 强调文字颜色 4 26" xfId="401" xr:uid="{00000000-0005-0000-0000-0000C1010000}"/>
    <cellStyle name="20% - 强调文字颜色 5 10" xfId="402" xr:uid="{00000000-0005-0000-0000-0000C2010000}"/>
    <cellStyle name="20% - 强调文字颜色 5 2 2 4" xfId="403" xr:uid="{00000000-0005-0000-0000-0000C3010000}"/>
    <cellStyle name="20% - 强调文字颜色 5 24" xfId="404" xr:uid="{00000000-0005-0000-0000-0000C4010000}"/>
    <cellStyle name="20% - 强调文字颜色 5 26" xfId="405" xr:uid="{00000000-0005-0000-0000-0000C5010000}"/>
    <cellStyle name="20% - 强调文字颜色 6 10" xfId="406" xr:uid="{00000000-0005-0000-0000-0000C6010000}"/>
    <cellStyle name="20% - 强调文字颜色 6 2 2 4" xfId="407" xr:uid="{00000000-0005-0000-0000-0000C7010000}"/>
    <cellStyle name="20% - 强调文字颜色 6 24" xfId="408" xr:uid="{00000000-0005-0000-0000-0000C8010000}"/>
    <cellStyle name="20% - 强调文字颜色 6 26" xfId="409" xr:uid="{00000000-0005-0000-0000-0000C9010000}"/>
    <cellStyle name="40 % - Accent1" xfId="410" xr:uid="{00000000-0005-0000-0000-0000CA010000}"/>
    <cellStyle name="40 % - Accent2" xfId="411" xr:uid="{00000000-0005-0000-0000-0000CB010000}"/>
    <cellStyle name="40 % - Accent3" xfId="412" xr:uid="{00000000-0005-0000-0000-0000CC010000}"/>
    <cellStyle name="40 % - Accent6" xfId="413" xr:uid="{00000000-0005-0000-0000-0000CD010000}"/>
    <cellStyle name="40% - ??文字?色 1 2" xfId="414" xr:uid="{00000000-0005-0000-0000-0000CE010000}"/>
    <cellStyle name="40% - ??文字?色 2 2" xfId="415" xr:uid="{00000000-0005-0000-0000-0000CF010000}"/>
    <cellStyle name="40% - ??文字?色 3 2" xfId="416" xr:uid="{00000000-0005-0000-0000-0000D0010000}"/>
    <cellStyle name="40% - ??文字?色 6 2" xfId="417" xr:uid="{00000000-0005-0000-0000-0000D1010000}"/>
    <cellStyle name="40% - Accent1 2_All SMC 20140314-miranda" xfId="418" xr:uid="{00000000-0005-0000-0000-0000D2010000}"/>
    <cellStyle name="40% - Accent2 10 2" xfId="419" xr:uid="{00000000-0005-0000-0000-0000D3010000}"/>
    <cellStyle name="40% - Accent3 10 2" xfId="420" xr:uid="{00000000-0005-0000-0000-0000D4010000}"/>
    <cellStyle name="40% - Accent3 2_All SMC 20140314-miranda" xfId="421" xr:uid="{00000000-0005-0000-0000-0000D5010000}"/>
    <cellStyle name="40% - Accent5 2 5" xfId="422" xr:uid="{00000000-0005-0000-0000-0000D6010000}"/>
    <cellStyle name="40% - Accent6 2_All SMC 20140314-miranda" xfId="423" xr:uid="{00000000-0005-0000-0000-0000D7010000}"/>
    <cellStyle name="40% - Accent6 74" xfId="424" xr:uid="{00000000-0005-0000-0000-0000D8010000}"/>
    <cellStyle name="40% - アクセント 1" xfId="425" xr:uid="{00000000-0005-0000-0000-0000D9010000}"/>
    <cellStyle name="40% - アクセント 2" xfId="426" xr:uid="{00000000-0005-0000-0000-0000DA010000}"/>
    <cellStyle name="40% - アクセント 3" xfId="427" xr:uid="{00000000-0005-0000-0000-0000DB010000}"/>
    <cellStyle name="40% - アクセント 6" xfId="428" xr:uid="{00000000-0005-0000-0000-0000DC010000}"/>
    <cellStyle name="40% - 강조색1" xfId="429" xr:uid="{00000000-0005-0000-0000-0000DD010000}"/>
    <cellStyle name="40% - 강조색2" xfId="430" xr:uid="{00000000-0005-0000-0000-0000DE010000}"/>
    <cellStyle name="40% - 강조색3" xfId="431" xr:uid="{00000000-0005-0000-0000-0000DF010000}"/>
    <cellStyle name="40% - 강조색6" xfId="432" xr:uid="{00000000-0005-0000-0000-0000E0010000}"/>
    <cellStyle name="40% - 輔色1" xfId="433" xr:uid="{00000000-0005-0000-0000-0000E1010000}"/>
    <cellStyle name="40% - 輔色1 13" xfId="434" xr:uid="{00000000-0005-0000-0000-0000E2010000}"/>
    <cellStyle name="40% - 輔色1 14 2" xfId="435" xr:uid="{00000000-0005-0000-0000-0000E3010000}"/>
    <cellStyle name="40% - 輔色1 15" xfId="436" xr:uid="{00000000-0005-0000-0000-0000E4010000}"/>
    <cellStyle name="40% - 輔色1 16" xfId="437" xr:uid="{00000000-0005-0000-0000-0000E5010000}"/>
    <cellStyle name="40% - 輔色1 2" xfId="438" xr:uid="{00000000-0005-0000-0000-0000E6010000}"/>
    <cellStyle name="40% - 輔色1 2 2_4551-000700-02" xfId="439" xr:uid="{00000000-0005-0000-0000-0000E7010000}"/>
    <cellStyle name="40% - 輔色1 3 6" xfId="440" xr:uid="{00000000-0005-0000-0000-0000E8010000}"/>
    <cellStyle name="40% - 輔色1 46" xfId="441" xr:uid="{00000000-0005-0000-0000-0000E9010000}"/>
    <cellStyle name="40% - 輔色1 9 3" xfId="442" xr:uid="{00000000-0005-0000-0000-0000EA010000}"/>
    <cellStyle name="40% - 輔色2" xfId="443" xr:uid="{00000000-0005-0000-0000-0000EB010000}"/>
    <cellStyle name="40% - 輔色2 13" xfId="444" xr:uid="{00000000-0005-0000-0000-0000EC010000}"/>
    <cellStyle name="40% - 輔色2 14 2" xfId="445" xr:uid="{00000000-0005-0000-0000-0000ED010000}"/>
    <cellStyle name="40% - 輔色2 15" xfId="446" xr:uid="{00000000-0005-0000-0000-0000EE010000}"/>
    <cellStyle name="40% - 輔色2 16" xfId="447" xr:uid="{00000000-0005-0000-0000-0000EF010000}"/>
    <cellStyle name="40% - 輔色2 2" xfId="448" xr:uid="{00000000-0005-0000-0000-0000F0010000}"/>
    <cellStyle name="40% - 輔色2 2 2_4551-000700-02" xfId="449" xr:uid="{00000000-0005-0000-0000-0000F1010000}"/>
    <cellStyle name="40% - 輔色2 3 6" xfId="450" xr:uid="{00000000-0005-0000-0000-0000F2010000}"/>
    <cellStyle name="40% - 輔色2 46" xfId="451" xr:uid="{00000000-0005-0000-0000-0000F3010000}"/>
    <cellStyle name="40% - 輔色3" xfId="452" xr:uid="{00000000-0005-0000-0000-0000F4010000}"/>
    <cellStyle name="40% - 輔色3 13" xfId="453" xr:uid="{00000000-0005-0000-0000-0000F5010000}"/>
    <cellStyle name="40% - 輔色3 14 2" xfId="454" xr:uid="{00000000-0005-0000-0000-0000F6010000}"/>
    <cellStyle name="40% - 輔色3 15" xfId="455" xr:uid="{00000000-0005-0000-0000-0000F7010000}"/>
    <cellStyle name="40% - 輔色3 16" xfId="456" xr:uid="{00000000-0005-0000-0000-0000F8010000}"/>
    <cellStyle name="40% - 輔色3 2" xfId="457" xr:uid="{00000000-0005-0000-0000-0000F9010000}"/>
    <cellStyle name="40% - 輔色3 2 2_4551-000700-02" xfId="458" xr:uid="{00000000-0005-0000-0000-0000FA010000}"/>
    <cellStyle name="40% - 輔色3 3 6" xfId="459" xr:uid="{00000000-0005-0000-0000-0000FB010000}"/>
    <cellStyle name="40% - 輔色3 46" xfId="460" xr:uid="{00000000-0005-0000-0000-0000FC010000}"/>
    <cellStyle name="40% - 輔色4 14 2" xfId="461" xr:uid="{00000000-0005-0000-0000-0000FD010000}"/>
    <cellStyle name="40% - 輔色4 15" xfId="462" xr:uid="{00000000-0005-0000-0000-0000FE010000}"/>
    <cellStyle name="40% - 輔色4 16" xfId="463" xr:uid="{00000000-0005-0000-0000-0000FF010000}"/>
    <cellStyle name="40% - 輔色4 46" xfId="464" xr:uid="{00000000-0005-0000-0000-000000020000}"/>
    <cellStyle name="40% - 輔色4 9 3" xfId="465" xr:uid="{00000000-0005-0000-0000-000001020000}"/>
    <cellStyle name="40% - 輔色5" xfId="466" xr:uid="{00000000-0005-0000-0000-000002020000}"/>
    <cellStyle name="40% - 輔色5 14 2" xfId="467" xr:uid="{00000000-0005-0000-0000-000003020000}"/>
    <cellStyle name="40% - 輔色5 15" xfId="468" xr:uid="{00000000-0005-0000-0000-000004020000}"/>
    <cellStyle name="40% - 輔色5 16" xfId="469" xr:uid="{00000000-0005-0000-0000-000005020000}"/>
    <cellStyle name="40% - 輔色5 46" xfId="470" xr:uid="{00000000-0005-0000-0000-000006020000}"/>
    <cellStyle name="40% - 輔色6 12" xfId="471" xr:uid="{00000000-0005-0000-0000-000007020000}"/>
    <cellStyle name="40% - 輔色6 14 2" xfId="472" xr:uid="{00000000-0005-0000-0000-000008020000}"/>
    <cellStyle name="40% - 輔色6 15" xfId="473" xr:uid="{00000000-0005-0000-0000-000009020000}"/>
    <cellStyle name="40% - 輔色6 16" xfId="474" xr:uid="{00000000-0005-0000-0000-00000A020000}"/>
    <cellStyle name="40% - 輔色6 2" xfId="475" xr:uid="{00000000-0005-0000-0000-00000B020000}"/>
    <cellStyle name="40% - 輔色6 2 2_4551-000700-02" xfId="476" xr:uid="{00000000-0005-0000-0000-00000C020000}"/>
    <cellStyle name="40% - 輔色6 3 6" xfId="477" xr:uid="{00000000-0005-0000-0000-00000D020000}"/>
    <cellStyle name="40% - 輔色6 46" xfId="478" xr:uid="{00000000-0005-0000-0000-00000E020000}"/>
    <cellStyle name="40% - 輔色6 9 3" xfId="479" xr:uid="{00000000-0005-0000-0000-00000F020000}"/>
    <cellStyle name="40% - 强调文字颜色 1 10" xfId="480" xr:uid="{00000000-0005-0000-0000-000010020000}"/>
    <cellStyle name="40% - 强调文字颜色 1 2 2 4" xfId="481" xr:uid="{00000000-0005-0000-0000-000011020000}"/>
    <cellStyle name="40% - 强调文字颜色 1 24" xfId="482" xr:uid="{00000000-0005-0000-0000-000012020000}"/>
    <cellStyle name="40% - 强调文字颜色 1 4 4" xfId="483" xr:uid="{00000000-0005-0000-0000-000013020000}"/>
    <cellStyle name="40% - 强调文字颜色 2 10" xfId="484" xr:uid="{00000000-0005-0000-0000-000014020000}"/>
    <cellStyle name="40% - 强调文字颜色 2 2 2 4" xfId="485" xr:uid="{00000000-0005-0000-0000-000015020000}"/>
    <cellStyle name="40% - 强调文字颜色 2 24" xfId="486" xr:uid="{00000000-0005-0000-0000-000016020000}"/>
    <cellStyle name="40% - 强调文字颜色 2 26" xfId="487" xr:uid="{00000000-0005-0000-0000-000017020000}"/>
    <cellStyle name="40% - 强调文字颜色 3 10" xfId="488" xr:uid="{00000000-0005-0000-0000-000018020000}"/>
    <cellStyle name="40% - 强调文字颜色 3 2 2 4" xfId="489" xr:uid="{00000000-0005-0000-0000-000019020000}"/>
    <cellStyle name="40% - 强调文字颜色 3 24" xfId="490" xr:uid="{00000000-0005-0000-0000-00001A020000}"/>
    <cellStyle name="40% - 强调文字颜色 3 26" xfId="491" xr:uid="{00000000-0005-0000-0000-00001B020000}"/>
    <cellStyle name="40% - 强调文字颜色 3 4 4" xfId="492" xr:uid="{00000000-0005-0000-0000-00001C020000}"/>
    <cellStyle name="40% - 强调文字颜色 5 3 2 3" xfId="493" xr:uid="{00000000-0005-0000-0000-00001D020000}"/>
    <cellStyle name="40% - 强调文字颜色 6 10" xfId="494" xr:uid="{00000000-0005-0000-0000-00001E020000}"/>
    <cellStyle name="40% - 强调文字颜色 6 2 2 4" xfId="495" xr:uid="{00000000-0005-0000-0000-00001F020000}"/>
    <cellStyle name="40% - 强调文字颜色 6 24" xfId="496" xr:uid="{00000000-0005-0000-0000-000020020000}"/>
    <cellStyle name="40% - 强调文字颜色 6 26" xfId="497" xr:uid="{00000000-0005-0000-0000-000021020000}"/>
    <cellStyle name="40% - 强调文字颜色 6 3 4" xfId="498" xr:uid="{00000000-0005-0000-0000-000022020000}"/>
    <cellStyle name="4560" xfId="499" xr:uid="{00000000-0005-0000-0000-000023020000}"/>
    <cellStyle name="6" xfId="500" xr:uid="{00000000-0005-0000-0000-000024020000}"/>
    <cellStyle name="60 % - Accent1" xfId="501" xr:uid="{00000000-0005-0000-0000-000025020000}"/>
    <cellStyle name="60 % - Accent2" xfId="502" xr:uid="{00000000-0005-0000-0000-000026020000}"/>
    <cellStyle name="60 % - Accent3" xfId="503" xr:uid="{00000000-0005-0000-0000-000027020000}"/>
    <cellStyle name="60 % - Accent4" xfId="504" xr:uid="{00000000-0005-0000-0000-000028020000}"/>
    <cellStyle name="60 % - Accent5" xfId="505" xr:uid="{00000000-0005-0000-0000-000029020000}"/>
    <cellStyle name="60 % - Accent6" xfId="506" xr:uid="{00000000-0005-0000-0000-00002A020000}"/>
    <cellStyle name="60% - ??文字?色 1 2" xfId="507" xr:uid="{00000000-0005-0000-0000-00002B020000}"/>
    <cellStyle name="60% - ??文字?色 2 2" xfId="508" xr:uid="{00000000-0005-0000-0000-00002C020000}"/>
    <cellStyle name="60% - ??文字?色 3 2" xfId="509" xr:uid="{00000000-0005-0000-0000-00002D020000}"/>
    <cellStyle name="60% - ??文字?色 4 2" xfId="510" xr:uid="{00000000-0005-0000-0000-00002E020000}"/>
    <cellStyle name="60% - ??文字?色 5 2" xfId="511" xr:uid="{00000000-0005-0000-0000-00002F020000}"/>
    <cellStyle name="60% - ??文字?色 6 2" xfId="512" xr:uid="{00000000-0005-0000-0000-000030020000}"/>
    <cellStyle name="60% - Accent1 10 2" xfId="513" xr:uid="{00000000-0005-0000-0000-000031020000}"/>
    <cellStyle name="60% - Accent1 2 2" xfId="514" xr:uid="{00000000-0005-0000-0000-000032020000}"/>
    <cellStyle name="60% - Accent1_4551-000700-02" xfId="515" xr:uid="{00000000-0005-0000-0000-000033020000}"/>
    <cellStyle name="60% - Accent2 10 2" xfId="516" xr:uid="{00000000-0005-0000-0000-000034020000}"/>
    <cellStyle name="60% - Accent2 2 2" xfId="517" xr:uid="{00000000-0005-0000-0000-000035020000}"/>
    <cellStyle name="60% - Accent2_4551-000700-02" xfId="518" xr:uid="{00000000-0005-0000-0000-000036020000}"/>
    <cellStyle name="60% - Accent3 10 2" xfId="519" xr:uid="{00000000-0005-0000-0000-000037020000}"/>
    <cellStyle name="60% - Accent3 2 2" xfId="520" xr:uid="{00000000-0005-0000-0000-000038020000}"/>
    <cellStyle name="60% - Accent3_4551-000700-02" xfId="521" xr:uid="{00000000-0005-0000-0000-000039020000}"/>
    <cellStyle name="60% - Accent4 10 2" xfId="522" xr:uid="{00000000-0005-0000-0000-00003A020000}"/>
    <cellStyle name="60% - Accent4 2 2" xfId="523" xr:uid="{00000000-0005-0000-0000-00003B020000}"/>
    <cellStyle name="60% - Accent4_4551-000700-02" xfId="524" xr:uid="{00000000-0005-0000-0000-00003C020000}"/>
    <cellStyle name="60% - Accent5 2 2" xfId="525" xr:uid="{00000000-0005-0000-0000-00003D020000}"/>
    <cellStyle name="60% - Accent6 2 2" xfId="526" xr:uid="{00000000-0005-0000-0000-00003E020000}"/>
    <cellStyle name="60% - Accent6 2 3" xfId="527" xr:uid="{00000000-0005-0000-0000-00003F020000}"/>
    <cellStyle name="60% - Accent6 73" xfId="528" xr:uid="{00000000-0005-0000-0000-000040020000}"/>
    <cellStyle name="60% - Accent6 74" xfId="529" xr:uid="{00000000-0005-0000-0000-000041020000}"/>
    <cellStyle name="60% - Accent6_4551-000700-02" xfId="530" xr:uid="{00000000-0005-0000-0000-000042020000}"/>
    <cellStyle name="60% - アクセント 1" xfId="531" xr:uid="{00000000-0005-0000-0000-000043020000}"/>
    <cellStyle name="60% - アクセント 2" xfId="532" xr:uid="{00000000-0005-0000-0000-000044020000}"/>
    <cellStyle name="60% - アクセント 3" xfId="533" xr:uid="{00000000-0005-0000-0000-000045020000}"/>
    <cellStyle name="60% - アクセント 4" xfId="534" xr:uid="{00000000-0005-0000-0000-000046020000}"/>
    <cellStyle name="60% - アクセント 5" xfId="535" xr:uid="{00000000-0005-0000-0000-000047020000}"/>
    <cellStyle name="60% - アクセント 6" xfId="536" xr:uid="{00000000-0005-0000-0000-000048020000}"/>
    <cellStyle name="60% - 강조색1" xfId="537" xr:uid="{00000000-0005-0000-0000-000049020000}"/>
    <cellStyle name="60% - 강조색2" xfId="538" xr:uid="{00000000-0005-0000-0000-00004A020000}"/>
    <cellStyle name="60% - 강조색3" xfId="539" xr:uid="{00000000-0005-0000-0000-00004B020000}"/>
    <cellStyle name="60% - 강조색4" xfId="540" xr:uid="{00000000-0005-0000-0000-00004C020000}"/>
    <cellStyle name="60% - 강조색5" xfId="541" xr:uid="{00000000-0005-0000-0000-00004D020000}"/>
    <cellStyle name="60% - 강조색6" xfId="542" xr:uid="{00000000-0005-0000-0000-00004E020000}"/>
    <cellStyle name="60% - 輔色1" xfId="543" xr:uid="{00000000-0005-0000-0000-00004F020000}"/>
    <cellStyle name="60% - 輔色1 13" xfId="544" xr:uid="{00000000-0005-0000-0000-000050020000}"/>
    <cellStyle name="60% - 輔色1 13 2" xfId="545" xr:uid="{00000000-0005-0000-0000-000051020000}"/>
    <cellStyle name="60% - 輔色1 14" xfId="546" xr:uid="{00000000-0005-0000-0000-000052020000}"/>
    <cellStyle name="60% - 輔色1 2" xfId="547" xr:uid="{00000000-0005-0000-0000-000053020000}"/>
    <cellStyle name="60% - 輔色1 3 2 4" xfId="548" xr:uid="{00000000-0005-0000-0000-000055020000}"/>
    <cellStyle name="60% - 輔色1 3 6" xfId="549" xr:uid="{00000000-0005-0000-0000-000056020000}"/>
    <cellStyle name="60% - 輔色1 7 4" xfId="550" xr:uid="{00000000-0005-0000-0000-000057020000}"/>
    <cellStyle name="60% - 輔色2" xfId="551" xr:uid="{00000000-0005-0000-0000-000058020000}"/>
    <cellStyle name="60% - 輔色2 13 2" xfId="552" xr:uid="{00000000-0005-0000-0000-000059020000}"/>
    <cellStyle name="60% - 輔色2 14" xfId="553" xr:uid="{00000000-0005-0000-0000-00005A020000}"/>
    <cellStyle name="60% - 輔色2 2" xfId="554" xr:uid="{00000000-0005-0000-0000-00005B020000}"/>
    <cellStyle name="60% - 輔色2 3 6" xfId="555" xr:uid="{00000000-0005-0000-0000-00005D020000}"/>
    <cellStyle name="60% - 輔色2 6 3" xfId="556" xr:uid="{00000000-0005-0000-0000-00005E020000}"/>
    <cellStyle name="60% - 輔色2 6 4" xfId="557" xr:uid="{00000000-0005-0000-0000-00005F020000}"/>
    <cellStyle name="60% - 輔色3" xfId="558" xr:uid="{00000000-0005-0000-0000-000060020000}"/>
    <cellStyle name="60% - 輔色3 13" xfId="559" xr:uid="{00000000-0005-0000-0000-000061020000}"/>
    <cellStyle name="60% - 輔色3 13 2" xfId="560" xr:uid="{00000000-0005-0000-0000-000062020000}"/>
    <cellStyle name="60% - 輔色3 14" xfId="561" xr:uid="{00000000-0005-0000-0000-000063020000}"/>
    <cellStyle name="60% - 輔色3 2" xfId="562" xr:uid="{00000000-0005-0000-0000-000064020000}"/>
    <cellStyle name="60% - 輔色3 3 2 4" xfId="563" xr:uid="{00000000-0005-0000-0000-000066020000}"/>
    <cellStyle name="60% - 輔色3 3 6" xfId="564" xr:uid="{00000000-0005-0000-0000-000067020000}"/>
    <cellStyle name="60% - 輔色3 6 3" xfId="565" xr:uid="{00000000-0005-0000-0000-000068020000}"/>
    <cellStyle name="60% - 輔色3 6 4" xfId="566" xr:uid="{00000000-0005-0000-0000-000069020000}"/>
    <cellStyle name="60% - 輔色4" xfId="567" xr:uid="{00000000-0005-0000-0000-00006A020000}"/>
    <cellStyle name="60% - 輔色4 13" xfId="568" xr:uid="{00000000-0005-0000-0000-00006B020000}"/>
    <cellStyle name="60% - 輔色4 13 2" xfId="569" xr:uid="{00000000-0005-0000-0000-00006C020000}"/>
    <cellStyle name="60% - 輔色4 14" xfId="570" xr:uid="{00000000-0005-0000-0000-00006D020000}"/>
    <cellStyle name="60% - 輔色4 2" xfId="571" xr:uid="{00000000-0005-0000-0000-00006E020000}"/>
    <cellStyle name="60% - 輔色4 3 2 4" xfId="572" xr:uid="{00000000-0005-0000-0000-000070020000}"/>
    <cellStyle name="60% - 輔色4 3 6" xfId="573" xr:uid="{00000000-0005-0000-0000-000071020000}"/>
    <cellStyle name="60% - 輔色4 6 3" xfId="574" xr:uid="{00000000-0005-0000-0000-000072020000}"/>
    <cellStyle name="60% - 輔色4 6 4" xfId="575" xr:uid="{00000000-0005-0000-0000-000073020000}"/>
    <cellStyle name="60% - 輔色5 13 2" xfId="576" xr:uid="{00000000-0005-0000-0000-000074020000}"/>
    <cellStyle name="60% - 輔色5 14" xfId="577" xr:uid="{00000000-0005-0000-0000-000075020000}"/>
    <cellStyle name="60% - 輔色5 2" xfId="578" xr:uid="{00000000-0005-0000-0000-000076020000}"/>
    <cellStyle name="60% - 輔色5 3 2 4" xfId="579" xr:uid="{00000000-0005-0000-0000-000078020000}"/>
    <cellStyle name="60% - 輔色5 3 6" xfId="580" xr:uid="{00000000-0005-0000-0000-000079020000}"/>
    <cellStyle name="60% - 輔色5 6 3" xfId="581" xr:uid="{00000000-0005-0000-0000-00007A020000}"/>
    <cellStyle name="60% - 輔色5 6 4" xfId="582" xr:uid="{00000000-0005-0000-0000-00007B020000}"/>
    <cellStyle name="60% - 輔色6" xfId="583" xr:uid="{00000000-0005-0000-0000-00007C020000}"/>
    <cellStyle name="60% - 輔色6 13" xfId="584" xr:uid="{00000000-0005-0000-0000-00007D020000}"/>
    <cellStyle name="60% - 輔色6 13 2" xfId="585" xr:uid="{00000000-0005-0000-0000-00007E020000}"/>
    <cellStyle name="60% - 輔色6 14" xfId="586" xr:uid="{00000000-0005-0000-0000-00007F020000}"/>
    <cellStyle name="60% - 輔色6 2" xfId="587" xr:uid="{00000000-0005-0000-0000-000080020000}"/>
    <cellStyle name="60% - 輔色6 3 2 4" xfId="588" xr:uid="{00000000-0005-0000-0000-000082020000}"/>
    <cellStyle name="60% - 輔色6 3 6" xfId="589" xr:uid="{00000000-0005-0000-0000-000083020000}"/>
    <cellStyle name="60% - 輔色6 6 3" xfId="590" xr:uid="{00000000-0005-0000-0000-000084020000}"/>
    <cellStyle name="60% - 輔色6 6 4" xfId="591" xr:uid="{00000000-0005-0000-0000-000085020000}"/>
    <cellStyle name="60% - 强调文字颜色 1 10" xfId="592" xr:uid="{00000000-0005-0000-0000-000086020000}"/>
    <cellStyle name="60% - 强调文字颜色 1 16" xfId="593" xr:uid="{00000000-0005-0000-0000-000087020000}"/>
    <cellStyle name="60% - 强调文字颜色 1 18" xfId="594" xr:uid="{00000000-0005-0000-0000-000088020000}"/>
    <cellStyle name="60% - 强调文字颜色 1 19" xfId="595" xr:uid="{00000000-0005-0000-0000-000089020000}"/>
    <cellStyle name="60% - 强调文字颜色 1 2 2 4" xfId="596" xr:uid="{00000000-0005-0000-0000-00008A020000}"/>
    <cellStyle name="60% - 强调文字颜色 1 21" xfId="597" xr:uid="{00000000-0005-0000-0000-00008B020000}"/>
    <cellStyle name="60% - 强调文字颜色 1 4 4" xfId="598" xr:uid="{00000000-0005-0000-0000-00008C020000}"/>
    <cellStyle name="60% - 强调文字颜色 2 10" xfId="599" xr:uid="{00000000-0005-0000-0000-00008D020000}"/>
    <cellStyle name="60% - 强调文字颜色 2 16" xfId="600" xr:uid="{00000000-0005-0000-0000-00008E020000}"/>
    <cellStyle name="60% - 强调文字颜色 2 18" xfId="601" xr:uid="{00000000-0005-0000-0000-00008F020000}"/>
    <cellStyle name="60% - 强调文字颜色 2 19" xfId="602" xr:uid="{00000000-0005-0000-0000-000090020000}"/>
    <cellStyle name="60% - 强调文字颜色 2 2 2 4" xfId="603" xr:uid="{00000000-0005-0000-0000-000091020000}"/>
    <cellStyle name="60% - 强调文字颜色 2 21" xfId="604" xr:uid="{00000000-0005-0000-0000-000092020000}"/>
    <cellStyle name="60% - 强调文字颜色 2 4 4" xfId="605" xr:uid="{00000000-0005-0000-0000-000093020000}"/>
    <cellStyle name="60% - 强调文字颜色 3 10" xfId="606" xr:uid="{00000000-0005-0000-0000-000094020000}"/>
    <cellStyle name="60% - 强调文字颜色 3 16" xfId="607" xr:uid="{00000000-0005-0000-0000-000095020000}"/>
    <cellStyle name="60% - 强调文字颜色 3 18" xfId="608" xr:uid="{00000000-0005-0000-0000-000096020000}"/>
    <cellStyle name="60% - 强调文字颜色 3 19" xfId="609" xr:uid="{00000000-0005-0000-0000-000097020000}"/>
    <cellStyle name="60% - 强调文字颜色 3 2 2 4" xfId="610" xr:uid="{00000000-0005-0000-0000-000098020000}"/>
    <cellStyle name="60% - 强调文字颜色 3 21" xfId="611" xr:uid="{00000000-0005-0000-0000-000099020000}"/>
    <cellStyle name="60% - 强调文字颜色 3 4 4" xfId="612" xr:uid="{00000000-0005-0000-0000-00009A020000}"/>
    <cellStyle name="60% - 强调文字颜色 4 10" xfId="613" xr:uid="{00000000-0005-0000-0000-00009B020000}"/>
    <cellStyle name="60% - 强调文字颜色 4 16" xfId="614" xr:uid="{00000000-0005-0000-0000-00009C020000}"/>
    <cellStyle name="60% - 强调文字颜色 4 18" xfId="615" xr:uid="{00000000-0005-0000-0000-00009D020000}"/>
    <cellStyle name="60% - 强调文字颜色 4 19" xfId="616" xr:uid="{00000000-0005-0000-0000-00009E020000}"/>
    <cellStyle name="60% - 强调文字颜色 4 2 2 4" xfId="617" xr:uid="{00000000-0005-0000-0000-00009F020000}"/>
    <cellStyle name="60% - 强调文字颜色 4 21" xfId="618" xr:uid="{00000000-0005-0000-0000-0000A0020000}"/>
    <cellStyle name="60% - 强调文字颜色 4 4 4" xfId="619" xr:uid="{00000000-0005-0000-0000-0000A1020000}"/>
    <cellStyle name="60% - 强调文字颜色 5 10" xfId="620" xr:uid="{00000000-0005-0000-0000-0000A2020000}"/>
    <cellStyle name="60% - 强调文字颜色 5 16" xfId="621" xr:uid="{00000000-0005-0000-0000-0000A3020000}"/>
    <cellStyle name="60% - 强调文字颜色 5 18" xfId="622" xr:uid="{00000000-0005-0000-0000-0000A4020000}"/>
    <cellStyle name="60% - 强调文字颜色 5 19" xfId="623" xr:uid="{00000000-0005-0000-0000-0000A5020000}"/>
    <cellStyle name="60% - 强调文字颜色 5 2 2 4" xfId="624" xr:uid="{00000000-0005-0000-0000-0000A6020000}"/>
    <cellStyle name="60% - 强调文字颜色 5 21" xfId="625" xr:uid="{00000000-0005-0000-0000-0000A7020000}"/>
    <cellStyle name="60% - 强调文字颜色 6 10" xfId="626" xr:uid="{00000000-0005-0000-0000-0000A8020000}"/>
    <cellStyle name="60% - 强调文字颜色 6 16" xfId="627" xr:uid="{00000000-0005-0000-0000-0000A9020000}"/>
    <cellStyle name="60% - 强调文字颜色 6 18" xfId="628" xr:uid="{00000000-0005-0000-0000-0000AA020000}"/>
    <cellStyle name="60% - 强调文字颜色 6 19" xfId="629" xr:uid="{00000000-0005-0000-0000-0000AB020000}"/>
    <cellStyle name="60% - 强调文字颜色 6 2 2 4" xfId="630" xr:uid="{00000000-0005-0000-0000-0000AC020000}"/>
    <cellStyle name="60% - 强调文字颜色 6 21" xfId="631" xr:uid="{00000000-0005-0000-0000-0000AD020000}"/>
    <cellStyle name="60% - 强调文字颜色 6 4 4" xfId="632" xr:uid="{00000000-0005-0000-0000-0000AE020000}"/>
    <cellStyle name="60% - 着色 1 2" xfId="633" xr:uid="{00000000-0005-0000-0000-0000AF020000}"/>
    <cellStyle name="60% - 着色 1 3" xfId="634" xr:uid="{00000000-0005-0000-0000-0000B0020000}"/>
    <cellStyle name="60% - 着色 2 2" xfId="635" xr:uid="{00000000-0005-0000-0000-0000B1020000}"/>
    <cellStyle name="60% - 着色 2 3" xfId="636" xr:uid="{00000000-0005-0000-0000-0000B2020000}"/>
    <cellStyle name="60% - 着色 3 2" xfId="637" xr:uid="{00000000-0005-0000-0000-0000B3020000}"/>
    <cellStyle name="60% - 着色 3 3" xfId="638" xr:uid="{00000000-0005-0000-0000-0000B4020000}"/>
    <cellStyle name="60% - 着色 4 2" xfId="639" xr:uid="{00000000-0005-0000-0000-0000B5020000}"/>
    <cellStyle name="60% - 着色 4 3" xfId="640" xr:uid="{00000000-0005-0000-0000-0000B6020000}"/>
    <cellStyle name="60% - 着色 5 2" xfId="641" xr:uid="{00000000-0005-0000-0000-0000B7020000}"/>
    <cellStyle name="60% - 着色 5 3" xfId="642" xr:uid="{00000000-0005-0000-0000-0000B8020000}"/>
    <cellStyle name="60% - 着色 6 2" xfId="643" xr:uid="{00000000-0005-0000-0000-0000B9020000}"/>
    <cellStyle name="60% - 着色 6 3" xfId="644" xr:uid="{00000000-0005-0000-0000-0000BA020000}"/>
    <cellStyle name="9__BP 8x2.5" xfId="645" xr:uid="{00000000-0005-0000-0000-0000BB020000}"/>
    <cellStyle name="9_JinShan ME BOM_03052010" xfId="646" xr:uid="{00000000-0005-0000-0000-0000BC020000}"/>
    <cellStyle name="'93 년 9 월 업체별 영업현황" xfId="647" xr:uid="{00000000-0005-0000-0000-0000BD020000}"/>
    <cellStyle name="a" xfId="648" xr:uid="{00000000-0005-0000-0000-0000BE020000}"/>
    <cellStyle name="A??? [0]_INQUIRY ???÷A?A? " xfId="649" xr:uid="{00000000-0005-0000-0000-0000BF020000}"/>
    <cellStyle name="A_Block Space" xfId="650" xr:uid="{00000000-0005-0000-0000-0000C0020000}"/>
    <cellStyle name="A_BlueLine" xfId="651" xr:uid="{00000000-0005-0000-0000-0000C1020000}"/>
    <cellStyle name="A_Do not Change" xfId="652" xr:uid="{00000000-0005-0000-0000-0000C2020000}"/>
    <cellStyle name="A_Estimate" xfId="653" xr:uid="{00000000-0005-0000-0000-0000C3020000}"/>
    <cellStyle name="A_Memo" xfId="654" xr:uid="{00000000-0005-0000-0000-0000C4020000}"/>
    <cellStyle name="A_Normal" xfId="655" xr:uid="{00000000-0005-0000-0000-0000C5020000}"/>
    <cellStyle name="A_Normal Forecast" xfId="656" xr:uid="{00000000-0005-0000-0000-0000C6020000}"/>
    <cellStyle name="A_Normal Forecast_Bi_Wk_Template_week08" xfId="657" xr:uid="{00000000-0005-0000-0000-0000C7020000}"/>
    <cellStyle name="A_Normal Historical" xfId="658" xr:uid="{00000000-0005-0000-0000-0000C8020000}"/>
    <cellStyle name="A_Rate_Data" xfId="659" xr:uid="{00000000-0005-0000-0000-0000C9020000}"/>
    <cellStyle name="A_Rate_Data Historical" xfId="660" xr:uid="{00000000-0005-0000-0000-0000CA020000}"/>
    <cellStyle name="A_Rate_Data Historical_Bi_Wk_Template_week08" xfId="661" xr:uid="{00000000-0005-0000-0000-0000CB020000}"/>
    <cellStyle name="A_Rate_Data_Bi_Wk_Template_week08" xfId="662" xr:uid="{00000000-0005-0000-0000-0000CC020000}"/>
    <cellStyle name="A_Rate_Title" xfId="663" xr:uid="{00000000-0005-0000-0000-0000CD020000}"/>
    <cellStyle name="A_Rate_Title_Bi_Wk_Template_week08" xfId="664" xr:uid="{00000000-0005-0000-0000-0000CE020000}"/>
    <cellStyle name="A_Simple Title" xfId="665" xr:uid="{00000000-0005-0000-0000-0000CF020000}"/>
    <cellStyle name="A_Sum" xfId="666" xr:uid="{00000000-0005-0000-0000-0000D0020000}"/>
    <cellStyle name="A_SUM_Row Major" xfId="667" xr:uid="{00000000-0005-0000-0000-0000D1020000}"/>
    <cellStyle name="A_SUM_Row Minor" xfId="668" xr:uid="{00000000-0005-0000-0000-0000D2020000}"/>
    <cellStyle name="A_Title" xfId="669" xr:uid="{00000000-0005-0000-0000-0000D3020000}"/>
    <cellStyle name="A_YearHeadings" xfId="670" xr:uid="{00000000-0005-0000-0000-0000D4020000}"/>
    <cellStyle name="A¨­￠￢￠O_INQUIRY ￠?￥i¨u¡AAⓒ￢Aⓒª " xfId="671" xr:uid="{00000000-0005-0000-0000-0000D5020000}"/>
    <cellStyle name="AAA 3" xfId="672" xr:uid="{00000000-0005-0000-0000-0000D6020000}"/>
    <cellStyle name="Accent1 - 20% 2 2 2" xfId="673" xr:uid="{00000000-0005-0000-0000-0000D7020000}"/>
    <cellStyle name="Accent1 - 20% 3" xfId="674" xr:uid="{00000000-0005-0000-0000-0000D8020000}"/>
    <cellStyle name="Accent1 - 40% 2 2 2" xfId="675" xr:uid="{00000000-0005-0000-0000-0000D9020000}"/>
    <cellStyle name="Accent1 - 40% 3" xfId="676" xr:uid="{00000000-0005-0000-0000-0000DA020000}"/>
    <cellStyle name="Accent1 - 60% 2 2 2" xfId="677" xr:uid="{00000000-0005-0000-0000-0000DB020000}"/>
    <cellStyle name="Accent1 - 60% 3" xfId="678" xr:uid="{00000000-0005-0000-0000-0000DC020000}"/>
    <cellStyle name="Accent1 10" xfId="679" xr:uid="{00000000-0005-0000-0000-0000DD020000}"/>
    <cellStyle name="Accent1 2 2" xfId="680" xr:uid="{00000000-0005-0000-0000-0000DE020000}"/>
    <cellStyle name="Accent1 2 4" xfId="681" xr:uid="{00000000-0005-0000-0000-0000DF020000}"/>
    <cellStyle name="Accent1_~0751672" xfId="682" xr:uid="{00000000-0005-0000-0000-0000E0020000}"/>
    <cellStyle name="Accent2 - 20% 2 2 2" xfId="683" xr:uid="{00000000-0005-0000-0000-0000E1020000}"/>
    <cellStyle name="Accent2 - 20% 3" xfId="684" xr:uid="{00000000-0005-0000-0000-0000E2020000}"/>
    <cellStyle name="Accent2 - 40% 2 2 2" xfId="685" xr:uid="{00000000-0005-0000-0000-0000E3020000}"/>
    <cellStyle name="Accent2 - 40% 3" xfId="686" xr:uid="{00000000-0005-0000-0000-0000E4020000}"/>
    <cellStyle name="Accent2 - 60% 2 2 2" xfId="687" xr:uid="{00000000-0005-0000-0000-0000E5020000}"/>
    <cellStyle name="Accent2 - 60% 3" xfId="688" xr:uid="{00000000-0005-0000-0000-0000E6020000}"/>
    <cellStyle name="Accent2 10" xfId="689" xr:uid="{00000000-0005-0000-0000-0000E7020000}"/>
    <cellStyle name="Accent2 2 2" xfId="690" xr:uid="{00000000-0005-0000-0000-0000E8020000}"/>
    <cellStyle name="Accent2 2 3" xfId="691" xr:uid="{00000000-0005-0000-0000-0000E9020000}"/>
    <cellStyle name="Accent2 2 4" xfId="692" xr:uid="{00000000-0005-0000-0000-0000EA020000}"/>
    <cellStyle name="Accent2_~0751672" xfId="693" xr:uid="{00000000-0005-0000-0000-0000EB020000}"/>
    <cellStyle name="Accent3 - 20% 2 2 2" xfId="694" xr:uid="{00000000-0005-0000-0000-0000EC020000}"/>
    <cellStyle name="Accent3 - 20% 3" xfId="695" xr:uid="{00000000-0005-0000-0000-0000ED020000}"/>
    <cellStyle name="Accent3 - 40% 2 2 2" xfId="696" xr:uid="{00000000-0005-0000-0000-0000EE020000}"/>
    <cellStyle name="Accent3 - 40% 3" xfId="697" xr:uid="{00000000-0005-0000-0000-0000EF020000}"/>
    <cellStyle name="Accent3 - 60% 2 2 2" xfId="698" xr:uid="{00000000-0005-0000-0000-0000F0020000}"/>
    <cellStyle name="Accent3 - 60% 3" xfId="699" xr:uid="{00000000-0005-0000-0000-0000F1020000}"/>
    <cellStyle name="Accent3 10" xfId="700" xr:uid="{00000000-0005-0000-0000-0000F2020000}"/>
    <cellStyle name="Accent3 2 2" xfId="701" xr:uid="{00000000-0005-0000-0000-0000F3020000}"/>
    <cellStyle name="Accent3 2 3" xfId="702" xr:uid="{00000000-0005-0000-0000-0000F4020000}"/>
    <cellStyle name="Accent3 2 4" xfId="703" xr:uid="{00000000-0005-0000-0000-0000F5020000}"/>
    <cellStyle name="Accent3_~0751672" xfId="704" xr:uid="{00000000-0005-0000-0000-0000F6020000}"/>
    <cellStyle name="Accent4 - 20% 2 2 2" xfId="705" xr:uid="{00000000-0005-0000-0000-0000F7020000}"/>
    <cellStyle name="Accent4 - 20% 3" xfId="706" xr:uid="{00000000-0005-0000-0000-0000F8020000}"/>
    <cellStyle name="Accent4 - 60% 2 2 2" xfId="707" xr:uid="{00000000-0005-0000-0000-0000F9020000}"/>
    <cellStyle name="Accent4 - 60% 3" xfId="708" xr:uid="{00000000-0005-0000-0000-0000FA020000}"/>
    <cellStyle name="Accent4 2 3" xfId="709" xr:uid="{00000000-0005-0000-0000-0000FB020000}"/>
    <cellStyle name="Accent4_~0751672" xfId="710" xr:uid="{00000000-0005-0000-0000-0000FC020000}"/>
    <cellStyle name="Accent5 - 20% 2 2 2" xfId="711" xr:uid="{00000000-0005-0000-0000-0000FD020000}"/>
    <cellStyle name="Accent5 - 20% 3" xfId="712" xr:uid="{00000000-0005-0000-0000-0000FE020000}"/>
    <cellStyle name="Accent5 - 60% 2 2 2" xfId="713" xr:uid="{00000000-0005-0000-0000-0000FF020000}"/>
    <cellStyle name="Accent5 - 60% 3" xfId="714" xr:uid="{00000000-0005-0000-0000-000000030000}"/>
    <cellStyle name="Accent5 10" xfId="715" xr:uid="{00000000-0005-0000-0000-000001030000}"/>
    <cellStyle name="Accent5_~0751672" xfId="716" xr:uid="{00000000-0005-0000-0000-000002030000}"/>
    <cellStyle name="Accent6 - 20% 2 2 2" xfId="717" xr:uid="{00000000-0005-0000-0000-000003030000}"/>
    <cellStyle name="Accent6 - 20% 3" xfId="718" xr:uid="{00000000-0005-0000-0000-000004030000}"/>
    <cellStyle name="Accent6 - 40% 2 2 2" xfId="719" xr:uid="{00000000-0005-0000-0000-000005030000}"/>
    <cellStyle name="Accent6 - 40% 3" xfId="720" xr:uid="{00000000-0005-0000-0000-000006030000}"/>
    <cellStyle name="Accent6 - 60% 2 2 2" xfId="721" xr:uid="{00000000-0005-0000-0000-000007030000}"/>
    <cellStyle name="Accent6 - 60% 3" xfId="722" xr:uid="{00000000-0005-0000-0000-000008030000}"/>
    <cellStyle name="Accent6 10" xfId="723" xr:uid="{00000000-0005-0000-0000-000009030000}"/>
    <cellStyle name="Accent6 2 2" xfId="724" xr:uid="{00000000-0005-0000-0000-00000A030000}"/>
    <cellStyle name="Accent6 2 3" xfId="725" xr:uid="{00000000-0005-0000-0000-00000B030000}"/>
    <cellStyle name="Accent6 2 4" xfId="726" xr:uid="{00000000-0005-0000-0000-00000C030000}"/>
    <cellStyle name="Accent6_~0751672" xfId="727" xr:uid="{00000000-0005-0000-0000-00000D030000}"/>
    <cellStyle name="Actual Date" xfId="728" xr:uid="{00000000-0005-0000-0000-00000E030000}"/>
    <cellStyle name="adatbe" xfId="729" xr:uid="{00000000-0005-0000-0000-00000F030000}"/>
    <cellStyle name="AeE­ [0]_¡U¾EU￢ A¾COºn±³ " xfId="730" xr:uid="{00000000-0005-0000-0000-000010030000}"/>
    <cellStyle name="ÅëÈ­ [0]_¡Ú¾ÈÜ¬ Á¾ÇÕºñ±³ " xfId="731" xr:uid="{00000000-0005-0000-0000-000011030000}"/>
    <cellStyle name="AeE­ [0]_¿­¸° INT" xfId="732" xr:uid="{00000000-0005-0000-0000-000012030000}"/>
    <cellStyle name="ÅëÈ­ [0]_4 " xfId="733" xr:uid="{00000000-0005-0000-0000-000014030000}"/>
    <cellStyle name="AeE­ [0]_6-3°æAi·A " xfId="734" xr:uid="{00000000-0005-0000-0000-000015030000}"/>
    <cellStyle name="ÅëÈ­ [0]_6-3°æÀï·Â " xfId="735" xr:uid="{00000000-0005-0000-0000-000016030000}"/>
    <cellStyle name="AeE­_¿­¸° INT" xfId="736" xr:uid="{00000000-0005-0000-0000-000017030000}"/>
    <cellStyle name="AeE¡ⓒ [0]_INQUIRY ￠?￥i¨u¡AAⓒ￢Aⓒª " xfId="737" xr:uid="{00000000-0005-0000-0000-000018030000}"/>
    <cellStyle name="Agara" xfId="738" xr:uid="{00000000-0005-0000-0000-000019030000}"/>
    <cellStyle name="AH?aao?W3sμ2" xfId="739" xr:uid="{00000000-0005-0000-0000-00001A030000}"/>
    <cellStyle name="ÀH«áªº¶W³sµ²" xfId="740" xr:uid="{00000000-0005-0000-0000-00001B030000}"/>
    <cellStyle name="alahuzás" xfId="741" xr:uid="{00000000-0005-0000-0000-00001C030000}"/>
    <cellStyle name="alap" xfId="742" xr:uid="{00000000-0005-0000-0000-00001D030000}"/>
    <cellStyle name="args.style" xfId="743" xr:uid="{00000000-0005-0000-0000-00001E030000}"/>
    <cellStyle name="AÞ¸¶ [0]_¿­¸° INT" xfId="744" xr:uid="{00000000-0005-0000-0000-00001F030000}"/>
    <cellStyle name="AÞ¸¶_¿­¸° INT" xfId="745" xr:uid="{00000000-0005-0000-0000-000020030000}"/>
    <cellStyle name="Ausgabe" xfId="746" xr:uid="{00000000-0005-0000-0000-000021030000}"/>
    <cellStyle name="Avertissement" xfId="747" xr:uid="{00000000-0005-0000-0000-000022030000}"/>
    <cellStyle name="_x0001_b" xfId="748" xr:uid="{00000000-0005-0000-0000-000023030000}"/>
    <cellStyle name="Bad 10 2" xfId="749" xr:uid="{00000000-0005-0000-0000-000024030000}"/>
    <cellStyle name="Bad 2 2" xfId="750" xr:uid="{00000000-0005-0000-0000-000025030000}"/>
    <cellStyle name="Bad_4551-000700-02" xfId="751" xr:uid="{00000000-0005-0000-0000-000026030000}"/>
    <cellStyle name="Berechnung" xfId="752" xr:uid="{00000000-0005-0000-0000-000027030000}"/>
    <cellStyle name="Big $$ Format" xfId="753" xr:uid="{00000000-0005-0000-0000-000028030000}"/>
    <cellStyle name="black bar" xfId="754" xr:uid="{00000000-0005-0000-0000-000029030000}"/>
    <cellStyle name="Blue,Bold,12pt" xfId="755" xr:uid="{00000000-0005-0000-0000-00002A030000}"/>
    <cellStyle name="Blue,Bold,14pt" xfId="756" xr:uid="{00000000-0005-0000-0000-00002B030000}"/>
    <cellStyle name="Body" xfId="757" xr:uid="{00000000-0005-0000-0000-00002C030000}"/>
    <cellStyle name="Bold,10pt" xfId="758" xr:uid="{00000000-0005-0000-0000-00002D030000}"/>
    <cellStyle name="Border" xfId="759" xr:uid="{00000000-0005-0000-0000-00002E030000}"/>
    <cellStyle name="Border1" xfId="760" xr:uid="{00000000-0005-0000-0000-00002F030000}"/>
    <cellStyle name="Border2" xfId="761" xr:uid="{00000000-0005-0000-0000-000030030000}"/>
    <cellStyle name="Border3" xfId="762" xr:uid="{00000000-0005-0000-0000-000031030000}"/>
    <cellStyle name="Buena" xfId="763" xr:uid="{00000000-0005-0000-0000-000032030000}"/>
    <cellStyle name="BuiltOpt_Content" xfId="764" xr:uid="{00000000-0005-0000-0000-000033030000}"/>
    <cellStyle name="BuiltOption_Content" xfId="765" xr:uid="{00000000-0005-0000-0000-000034030000}"/>
    <cellStyle name="C?A?_???÷CoE? " xfId="766" xr:uid="{00000000-0005-0000-0000-000035030000}"/>
    <cellStyle name="C¡IA¨ª_¡Æ￠R¨uO￠￢¡ÆAIA￠´_￥iⓒ￡A¨IAIA￠´ " xfId="767" xr:uid="{00000000-0005-0000-0000-000036030000}"/>
    <cellStyle name="Ç¥ÁØ_¡ßFO ÅõÀÚºñºñ±³ " xfId="768" xr:uid="{00000000-0005-0000-0000-000037030000}"/>
    <cellStyle name="C￥AØ_¸nA÷ " xfId="769" xr:uid="{00000000-0005-0000-0000-000038030000}"/>
    <cellStyle name="Ç¥ÁØ_¸ñÂ÷ " xfId="770" xr:uid="{00000000-0005-0000-0000-000039030000}"/>
    <cellStyle name="C￥AØ_¿­¸° INT" xfId="771" xr:uid="{00000000-0005-0000-0000-00003A030000}"/>
    <cellStyle name="Ç¥ÁØ_°³¹ßÀÏÁ¤ " xfId="772" xr:uid="{00000000-0005-0000-0000-00003C030000}"/>
    <cellStyle name="C￥AØ_°³¹ßAIA¤  (2)_°³¹ßAIA¤ " xfId="773" xr:uid="{00000000-0005-0000-0000-00003D030000}"/>
    <cellStyle name="Ç¥ÁØ_1.ÆÇ¸Å½ÇÀû " xfId="774" xr:uid="{00000000-0005-0000-0000-00003E030000}"/>
    <cellStyle name="C￥AØ_4 " xfId="775" xr:uid="{00000000-0005-0000-0000-00003F030000}"/>
    <cellStyle name="Ç¥ÁØ_4 " xfId="776" xr:uid="{00000000-0005-0000-0000-000040030000}"/>
    <cellStyle name="C￥AØ_A·ºI2 " xfId="777" xr:uid="{00000000-0005-0000-0000-000041030000}"/>
    <cellStyle name="Ç¥ÁØ_Ã·ºÎ2 " xfId="778" xr:uid="{00000000-0005-0000-0000-000042030000}"/>
    <cellStyle name="C￥AØ_Aß±a≫y≫e°eE¹ " xfId="779" xr:uid="{00000000-0005-0000-0000-000043030000}"/>
    <cellStyle name="Ç¥ÁØ_SMG-CKD-d1.1 " xfId="780" xr:uid="{00000000-0005-0000-0000-000045030000}"/>
    <cellStyle name="Calc Currency (0)" xfId="781" xr:uid="{00000000-0005-0000-0000-000046030000}"/>
    <cellStyle name="Calc Currency (0) 2 2 5" xfId="782" xr:uid="{00000000-0005-0000-0000-000047030000}"/>
    <cellStyle name="Calc Currency (0) 4 2" xfId="783" xr:uid="{00000000-0005-0000-0000-000048030000}"/>
    <cellStyle name="Calc Currency (2) 2 2 5" xfId="784" xr:uid="{00000000-0005-0000-0000-000049030000}"/>
    <cellStyle name="Calc Currency (2) 4 2" xfId="785" xr:uid="{00000000-0005-0000-0000-00004A030000}"/>
    <cellStyle name="Calc Percent (0)" xfId="786" xr:uid="{00000000-0005-0000-0000-00004B030000}"/>
    <cellStyle name="Calc Percent (0) 2 2 5" xfId="787" xr:uid="{00000000-0005-0000-0000-00004C030000}"/>
    <cellStyle name="Calc Percent (0) 4 2" xfId="788" xr:uid="{00000000-0005-0000-0000-00004D030000}"/>
    <cellStyle name="Calc Percent (1) 2 2 5" xfId="789" xr:uid="{00000000-0005-0000-0000-00004E030000}"/>
    <cellStyle name="Calc Percent (1) 4 2" xfId="790" xr:uid="{00000000-0005-0000-0000-00004F030000}"/>
    <cellStyle name="Calc Percent (2) 2 2 5" xfId="791" xr:uid="{00000000-0005-0000-0000-000050030000}"/>
    <cellStyle name="Calc Percent (2) 4 2" xfId="792" xr:uid="{00000000-0005-0000-0000-000051030000}"/>
    <cellStyle name="Calc Units (1) 2 2 5" xfId="793" xr:uid="{00000000-0005-0000-0000-000052030000}"/>
    <cellStyle name="Calc Units (1) 4 2" xfId="794" xr:uid="{00000000-0005-0000-0000-000053030000}"/>
    <cellStyle name="Calculation 10 2 2" xfId="795" xr:uid="{00000000-0005-0000-0000-000054030000}"/>
    <cellStyle name="can" xfId="796" xr:uid="{00000000-0005-0000-0000-000055030000}"/>
    <cellStyle name="čárky bez des. míst_Volvo  - PL Case 1 " xfId="797" xr:uid="{00000000-0005-0000-0000-000056030000}"/>
    <cellStyle name="category 3" xfId="798" xr:uid="{00000000-0005-0000-0000-000057030000}"/>
    <cellStyle name="Celda de comprobación" xfId="799" xr:uid="{00000000-0005-0000-0000-000058030000}"/>
    <cellStyle name="Celda vinculada" xfId="800" xr:uid="{00000000-0005-0000-0000-000059030000}"/>
    <cellStyle name="Check Cell 10 2" xfId="801" xr:uid="{00000000-0005-0000-0000-00005A030000}"/>
    <cellStyle name="Check Cell 2 2" xfId="802" xr:uid="{00000000-0005-0000-0000-00005B030000}"/>
    <cellStyle name="Chybně" xfId="803" xr:uid="{00000000-0005-0000-0000-00005C030000}"/>
    <cellStyle name="čiarky [0]_ceny" xfId="804" xr:uid="{00000000-0005-0000-0000-00005D030000}"/>
    <cellStyle name="cím" xfId="805" xr:uid="{00000000-0005-0000-0000-00005E030000}"/>
    <cellStyle name="Code" xfId="806" xr:uid="{00000000-0005-0000-0000-00005F030000}"/>
    <cellStyle name="Collegamento ipertestuale" xfId="807" xr:uid="{00000000-0005-0000-0000-000060030000}"/>
    <cellStyle name="Collegamento ipertestuale visitato" xfId="808" xr:uid="{00000000-0005-0000-0000-000061030000}"/>
    <cellStyle name="COLONY" xfId="809" xr:uid="{00000000-0005-0000-0000-000062030000}"/>
    <cellStyle name="Column Header" xfId="810" xr:uid="{00000000-0005-0000-0000-000063030000}"/>
    <cellStyle name="Column_Title" xfId="811" xr:uid="{00000000-0005-0000-0000-000064030000}"/>
    <cellStyle name="ColumnAttributeAbovePrompt" xfId="812" xr:uid="{00000000-0005-0000-0000-000065030000}"/>
    <cellStyle name="ColumnAttributePrompt" xfId="813" xr:uid="{00000000-0005-0000-0000-000066030000}"/>
    <cellStyle name="ColumnAttributeValue" xfId="814" xr:uid="{00000000-0005-0000-0000-000067030000}"/>
    <cellStyle name="ColumnHeadingValue" xfId="815" xr:uid="{00000000-0005-0000-0000-000068030000}"/>
    <cellStyle name="CombinedVol_Data" xfId="816" xr:uid="{00000000-0005-0000-0000-000069030000}"/>
    <cellStyle name="Comma  - Style1 2" xfId="817" xr:uid="{00000000-0005-0000-0000-00006A030000}"/>
    <cellStyle name="Comma  - Style1 3" xfId="818" xr:uid="{00000000-0005-0000-0000-00006B030000}"/>
    <cellStyle name="Comma  - Style6 3" xfId="819" xr:uid="{00000000-0005-0000-0000-00006C030000}"/>
    <cellStyle name="comma (,0)" xfId="820" xr:uid="{00000000-0005-0000-0000-00006D030000}"/>
    <cellStyle name="Comma [0]" xfId="821" xr:uid="{00000000-0005-0000-0000-00006E030000}"/>
    <cellStyle name="Comma [0] 2 2" xfId="822" xr:uid="{00000000-0005-0000-0000-00006F030000}"/>
    <cellStyle name="Comma [0] 2 3" xfId="823" xr:uid="{00000000-0005-0000-0000-000070030000}"/>
    <cellStyle name="Comma [0]_1" xfId="824" xr:uid="{00000000-0005-0000-0000-000071030000}"/>
    <cellStyle name="Comma [00] 2 5" xfId="825" xr:uid="{00000000-0005-0000-0000-000072030000}"/>
    <cellStyle name="Comma [00] 3 2 2" xfId="826" xr:uid="{00000000-0005-0000-0000-000073030000}"/>
    <cellStyle name="Comma [4]" xfId="827" xr:uid="{00000000-0005-0000-0000-000074030000}"/>
    <cellStyle name="Comma 10" xfId="828" xr:uid="{00000000-0005-0000-0000-000075030000}"/>
    <cellStyle name="Comma 2 11" xfId="829" xr:uid="{00000000-0005-0000-0000-000076030000}"/>
    <cellStyle name="Comma 2 2 2 3" xfId="830" xr:uid="{00000000-0005-0000-0000-000077030000}"/>
    <cellStyle name="Comma 2 2 5" xfId="831" xr:uid="{00000000-0005-0000-0000-000078030000}"/>
    <cellStyle name="Comma 2 3 2 2" xfId="832" xr:uid="{00000000-0005-0000-0000-000079030000}"/>
    <cellStyle name="Comma 3 11" xfId="833" xr:uid="{00000000-0005-0000-0000-00007A030000}"/>
    <cellStyle name="Comma 3 2 2 2 2 2" xfId="834" xr:uid="{00000000-0005-0000-0000-00007B030000}"/>
    <cellStyle name="Comma 3 2 2 2 2 2 2" xfId="835" xr:uid="{00000000-0005-0000-0000-00007C030000}"/>
    <cellStyle name="comma zerodec" xfId="836" xr:uid="{00000000-0005-0000-0000-00007D030000}"/>
    <cellStyle name="comma zerodec 2" xfId="837" xr:uid="{00000000-0005-0000-0000-00007E030000}"/>
    <cellStyle name="Comma_#6 Temps &amp; Contractors" xfId="838" xr:uid="{00000000-0005-0000-0000-00007F030000}"/>
    <cellStyle name="Comma0" xfId="839" xr:uid="{00000000-0005-0000-0000-000080030000}"/>
    <cellStyle name="Comma0 - Modelo1 3" xfId="840" xr:uid="{00000000-0005-0000-0000-000081030000}"/>
    <cellStyle name="Commentaire" xfId="841" xr:uid="{00000000-0005-0000-0000-000082030000}"/>
    <cellStyle name="Copied" xfId="842" xr:uid="{00000000-0005-0000-0000-000083030000}"/>
    <cellStyle name="COST1 3 2" xfId="843" xr:uid="{00000000-0005-0000-0000-000084030000}"/>
    <cellStyle name="Currency" xfId="844" xr:uid="{00000000-0005-0000-0000-000085030000}"/>
    <cellStyle name="Currency (black)" xfId="845" xr:uid="{00000000-0005-0000-0000-000086030000}"/>
    <cellStyle name="Currency (blue)" xfId="846" xr:uid="{00000000-0005-0000-0000-000087030000}"/>
    <cellStyle name="Currency [0]" xfId="847" xr:uid="{00000000-0005-0000-0000-000088030000}"/>
    <cellStyle name="Currency [00] 2 5" xfId="848" xr:uid="{00000000-0005-0000-0000-000089030000}"/>
    <cellStyle name="Currency [00] 3 2 2" xfId="849" xr:uid="{00000000-0005-0000-0000-00008A030000}"/>
    <cellStyle name="Currency 10" xfId="850" xr:uid="{00000000-0005-0000-0000-00008B030000}"/>
    <cellStyle name="Currency 2 2 5" xfId="851" xr:uid="{00000000-0005-0000-0000-00008C030000}"/>
    <cellStyle name="Currency 2 3 2 5" xfId="852" xr:uid="{00000000-0005-0000-0000-00008D030000}"/>
    <cellStyle name="Currency 2 8" xfId="853" xr:uid="{00000000-0005-0000-0000-00008E030000}"/>
    <cellStyle name="Currency 3" xfId="854" xr:uid="{00000000-0005-0000-0000-00008F030000}"/>
    <cellStyle name="Currency 4" xfId="855" xr:uid="{00000000-0005-0000-0000-000090030000}"/>
    <cellStyle name="Currency 6" xfId="856" xr:uid="{00000000-0005-0000-0000-000091030000}"/>
    <cellStyle name="Currency 8" xfId="857" xr:uid="{00000000-0005-0000-0000-000092030000}"/>
    <cellStyle name="Currency_#6 Temps &amp; Contractors" xfId="858" xr:uid="{00000000-0005-0000-0000-000093030000}"/>
    <cellStyle name="Currency0" xfId="859" xr:uid="{00000000-0005-0000-0000-000094030000}"/>
    <cellStyle name="Currency0 6" xfId="860" xr:uid="{00000000-0005-0000-0000-000095030000}"/>
    <cellStyle name="Currency1" xfId="861" xr:uid="{00000000-0005-0000-0000-000096030000}"/>
    <cellStyle name="Currency1 2" xfId="862" xr:uid="{00000000-0005-0000-0000-000097030000}"/>
    <cellStyle name="custom" xfId="863" xr:uid="{00000000-0005-0000-0000-000098030000}"/>
    <cellStyle name="Custom - Style1" xfId="864" xr:uid="{00000000-0005-0000-0000-000099030000}"/>
    <cellStyle name="Custom - Style8" xfId="865" xr:uid="{00000000-0005-0000-0000-00009A030000}"/>
    <cellStyle name="custom_BOM" xfId="866" xr:uid="{00000000-0005-0000-0000-00009B030000}"/>
    <cellStyle name="Cyndie" xfId="867" xr:uid="{00000000-0005-0000-0000-00009C030000}"/>
    <cellStyle name="Data   - Style2" xfId="868" xr:uid="{00000000-0005-0000-0000-00009D030000}"/>
    <cellStyle name="DATA_ENTRY" xfId="869" xr:uid="{00000000-0005-0000-0000-00009E030000}"/>
    <cellStyle name="Date 6" xfId="870" xr:uid="{00000000-0005-0000-0000-00009F030000}"/>
    <cellStyle name="Date Short" xfId="871" xr:uid="{00000000-0005-0000-0000-0000A0030000}"/>
    <cellStyle name="Date Short 2 2 2" xfId="872" xr:uid="{00000000-0005-0000-0000-0000A1030000}"/>
    <cellStyle name="Date_ DQA test item" xfId="873" xr:uid="{00000000-0005-0000-0000-0000A2030000}"/>
    <cellStyle name="Decimal Number" xfId="874" xr:uid="{00000000-0005-0000-0000-0000A3030000}"/>
    <cellStyle name="DELTA 3" xfId="875" xr:uid="{00000000-0005-0000-0000-0000A4030000}"/>
    <cellStyle name="Delta Neg (Red)" xfId="876" xr:uid="{00000000-0005-0000-0000-0000A5030000}"/>
    <cellStyle name="Dezimal 2" xfId="877" xr:uid="{00000000-0005-0000-0000-0000A6030000}"/>
    <cellStyle name="Dia 3" xfId="878" xr:uid="{00000000-0005-0000-0000-0000A7030000}"/>
    <cellStyle name="DIFFERENC" xfId="879" xr:uid="{00000000-0005-0000-0000-0000A8030000}"/>
    <cellStyle name="Dollar (zero dec)" xfId="880" xr:uid="{00000000-0005-0000-0000-0000A9030000}"/>
    <cellStyle name="Dollar (zero dec) 2" xfId="881" xr:uid="{00000000-0005-0000-0000-0000AA030000}"/>
    <cellStyle name="Dostupnosť" xfId="882" xr:uid="{00000000-0005-0000-0000-0000AB030000}"/>
    <cellStyle name="Edited_Data" xfId="883" xr:uid="{00000000-0005-0000-0000-0000AC030000}"/>
    <cellStyle name="Eingabe" xfId="884" xr:uid="{00000000-0005-0000-0000-0000AD030000}"/>
    <cellStyle name="Emphasis 1 2 2 2" xfId="885" xr:uid="{00000000-0005-0000-0000-0000AE030000}"/>
    <cellStyle name="Emphasis 1 3" xfId="886" xr:uid="{00000000-0005-0000-0000-0000AF030000}"/>
    <cellStyle name="Emphasis 2 2 2 2" xfId="887" xr:uid="{00000000-0005-0000-0000-0000B0030000}"/>
    <cellStyle name="Emphasis 2 3" xfId="888" xr:uid="{00000000-0005-0000-0000-0000B1030000}"/>
    <cellStyle name="Emphasis 3 2 2 2" xfId="889" xr:uid="{00000000-0005-0000-0000-0000B2030000}"/>
    <cellStyle name="Emphasis 3 3" xfId="890" xr:uid="{00000000-0005-0000-0000-0000B3030000}"/>
    <cellStyle name="Encabez1 3" xfId="891" xr:uid="{00000000-0005-0000-0000-0000B4030000}"/>
    <cellStyle name="Encabezado 4" xfId="892" xr:uid="{00000000-0005-0000-0000-0000B5030000}"/>
    <cellStyle name="Enter Currency (0)" xfId="893" xr:uid="{00000000-0005-0000-0000-0000B6030000}"/>
    <cellStyle name="Entered" xfId="894" xr:uid="{00000000-0005-0000-0000-0000B7030000}"/>
    <cellStyle name="En-tete 1" xfId="895" xr:uid="{00000000-0005-0000-0000-0000B8030000}"/>
    <cellStyle name="En-tete 2" xfId="896" xr:uid="{00000000-0005-0000-0000-0000B9030000}"/>
    <cellStyle name="entrée" xfId="897" xr:uid="{00000000-0005-0000-0000-0000BA030000}"/>
    <cellStyle name="entry" xfId="898" xr:uid="{00000000-0005-0000-0000-0000BB030000}"/>
    <cellStyle name="Ergebnis" xfId="899" xr:uid="{00000000-0005-0000-0000-0000BC030000}"/>
    <cellStyle name="Erklärender Text" xfId="900" xr:uid="{00000000-0005-0000-0000-0000BD030000}"/>
    <cellStyle name="Estimated_Data" xfId="901" xr:uid="{00000000-0005-0000-0000-0000BE030000}"/>
    <cellStyle name="Euro" xfId="902" xr:uid="{00000000-0005-0000-0000-0000BF030000}"/>
    <cellStyle name="Euro 2 4" xfId="903" xr:uid="{00000000-0005-0000-0000-0000C0030000}"/>
    <cellStyle name="Euros" xfId="904" xr:uid="{00000000-0005-0000-0000-0000C1030000}"/>
    <cellStyle name="Excel Built-in Accent1" xfId="905" xr:uid="{00000000-0005-0000-0000-0000C2030000}"/>
    <cellStyle name="Excel Built-in Accent2" xfId="906" xr:uid="{00000000-0005-0000-0000-0000C3030000}"/>
    <cellStyle name="Excel Built-in Accent3" xfId="907" xr:uid="{00000000-0005-0000-0000-0000C4030000}"/>
    <cellStyle name="Excel Built-in Accent6" xfId="908" xr:uid="{00000000-0005-0000-0000-0000C5030000}"/>
    <cellStyle name="Excel Built-in Bad" xfId="909" xr:uid="{00000000-0005-0000-0000-0000C6030000}"/>
    <cellStyle name="Excel Built-in Calculation" xfId="910" xr:uid="{00000000-0005-0000-0000-0000C7030000}"/>
    <cellStyle name="Excel Built-in Check Cell" xfId="911" xr:uid="{00000000-0005-0000-0000-0000C8030000}"/>
    <cellStyle name="Excel Built-in Explanatory Text" xfId="912" xr:uid="{00000000-0005-0000-0000-0000C9030000}"/>
    <cellStyle name="Excel Built-in Good" xfId="913" xr:uid="{00000000-0005-0000-0000-0000CA030000}"/>
    <cellStyle name="Excel Built-in Heading 1" xfId="914" xr:uid="{00000000-0005-0000-0000-0000CB030000}"/>
    <cellStyle name="Excel Built-in Heading 2" xfId="915" xr:uid="{00000000-0005-0000-0000-0000CC030000}"/>
    <cellStyle name="Excel Built-in Heading 3" xfId="916" xr:uid="{00000000-0005-0000-0000-0000CD030000}"/>
    <cellStyle name="Excel Built-in Heading 4" xfId="917" xr:uid="{00000000-0005-0000-0000-0000CE030000}"/>
    <cellStyle name="Excel Built-in Input" xfId="918" xr:uid="{00000000-0005-0000-0000-0000CF030000}"/>
    <cellStyle name="Excel Built-in Linked Cell" xfId="919" xr:uid="{00000000-0005-0000-0000-0000D0030000}"/>
    <cellStyle name="Excel Built-in Neutral" xfId="920" xr:uid="{00000000-0005-0000-0000-0000D1030000}"/>
    <cellStyle name="Excel Built-in Normal" xfId="921" xr:uid="{00000000-0005-0000-0000-0000D2030000}"/>
    <cellStyle name="Excel Built-in Normal 2" xfId="922" xr:uid="{00000000-0005-0000-0000-0000D3030000}"/>
    <cellStyle name="Excel Built-in Note" xfId="923" xr:uid="{00000000-0005-0000-0000-0000D4030000}"/>
    <cellStyle name="Excel Built-in Output" xfId="924" xr:uid="{00000000-0005-0000-0000-0000D5030000}"/>
    <cellStyle name="Excel Built-in Title" xfId="925" xr:uid="{00000000-0005-0000-0000-0000D6030000}"/>
    <cellStyle name="Excel Built-in Total" xfId="926" xr:uid="{00000000-0005-0000-0000-0000D7030000}"/>
    <cellStyle name="Excel Built-in Warning Text" xfId="927" xr:uid="{00000000-0005-0000-0000-0000D8030000}"/>
    <cellStyle name="Explanatory Text 10 2" xfId="928" xr:uid="{00000000-0005-0000-0000-0000D9030000}"/>
    <cellStyle name="Explanatory Text 2 6" xfId="929" xr:uid="{00000000-0005-0000-0000-0000DA030000}"/>
    <cellStyle name="Explanatory Text_4551-000700-02" xfId="930" xr:uid="{00000000-0005-0000-0000-0000DB030000}"/>
    <cellStyle name="Ext Costs 2 Deci" xfId="931" xr:uid="{00000000-0005-0000-0000-0000DC030000}"/>
    <cellStyle name="F4 3" xfId="932" xr:uid="{00000000-0005-0000-0000-0000DD030000}"/>
    <cellStyle name="F6 3" xfId="933" xr:uid="{00000000-0005-0000-0000-0000DE030000}"/>
    <cellStyle name="F8 3" xfId="934" xr:uid="{00000000-0005-0000-0000-0000DF030000}"/>
    <cellStyle name="Financier0" xfId="935" xr:uid="{00000000-0005-0000-0000-0000E0030000}"/>
    <cellStyle name="Fixed" xfId="936" xr:uid="{00000000-0005-0000-0000-0000E1030000}"/>
    <cellStyle name="Fixed 6" xfId="937" xr:uid="{00000000-0005-0000-0000-0000E2030000}"/>
    <cellStyle name="Fixed1 - Style1" xfId="938" xr:uid="{00000000-0005-0000-0000-0000E3030000}"/>
    <cellStyle name="ƒnƒCƒp[ƒŠƒ“ƒN" xfId="939" xr:uid="{00000000-0005-0000-0000-0000E4030000}"/>
    <cellStyle name="Followed Hyperlink" xfId="940" xr:uid="{00000000-0005-0000-0000-0000E5030000}"/>
    <cellStyle name="Font_Actual" xfId="941" xr:uid="{00000000-0005-0000-0000-0000E7030000}"/>
    <cellStyle name="Forecast_Data" xfId="942" xr:uid="{00000000-0005-0000-0000-0000E8030000}"/>
    <cellStyle name="Formule" xfId="943" xr:uid="{00000000-0005-0000-0000-0000E9030000}"/>
    <cellStyle name="Formule%1" xfId="944" xr:uid="{00000000-0005-0000-0000-0000EA030000}"/>
    <cellStyle name="FormuleNb0" xfId="945" xr:uid="{00000000-0005-0000-0000-0000EB030000}"/>
    <cellStyle name="FormuleNb1" xfId="946" xr:uid="{00000000-0005-0000-0000-0000EC030000}"/>
    <cellStyle name="FormuleNb2" xfId="947" xr:uid="{00000000-0005-0000-0000-0000ED030000}"/>
    <cellStyle name="ƒp[ƒZƒ“ƒg_pldt" xfId="948" xr:uid="{00000000-0005-0000-0000-0000EE030000}"/>
    <cellStyle name="Fyear" xfId="949" xr:uid="{00000000-0005-0000-0000-0000EF030000}"/>
    <cellStyle name="GCIM" xfId="950" xr:uid="{00000000-0005-0000-0000-0000F0030000}"/>
    <cellStyle name="GCIO" xfId="951" xr:uid="{00000000-0005-0000-0000-0000F1030000}"/>
    <cellStyle name="Gilsans" xfId="952" xr:uid="{00000000-0005-0000-0000-0000F2030000}"/>
    <cellStyle name="Gilsansl" xfId="953" xr:uid="{00000000-0005-0000-0000-0000F3030000}"/>
    <cellStyle name="gj" xfId="954" xr:uid="{00000000-0005-0000-0000-0000F4030000}"/>
    <cellStyle name="gj1" xfId="955" xr:uid="{00000000-0005-0000-0000-0000F5030000}"/>
    <cellStyle name="Good 10 2" xfId="956" xr:uid="{00000000-0005-0000-0000-0000F6030000}"/>
    <cellStyle name="Good_4551-000700-02" xfId="957" xr:uid="{00000000-0005-0000-0000-0000F7030000}"/>
    <cellStyle name="Grey" xfId="958" xr:uid="{00000000-0005-0000-0000-0000F8030000}"/>
    <cellStyle name="Grey 2 2 5" xfId="959" xr:uid="{00000000-0005-0000-0000-0000F9030000}"/>
    <cellStyle name="gu" xfId="960" xr:uid="{00000000-0005-0000-0000-0000FA030000}"/>
    <cellStyle name="Head 1" xfId="961" xr:uid="{00000000-0005-0000-0000-0000FB030000}"/>
    <cellStyle name="Head 2" xfId="962" xr:uid="{00000000-0005-0000-0000-0000FC030000}"/>
    <cellStyle name="Head 3" xfId="963" xr:uid="{00000000-0005-0000-0000-0000FD030000}"/>
    <cellStyle name="HEADER 2" xfId="964" xr:uid="{00000000-0005-0000-0000-0000FE030000}"/>
    <cellStyle name="HEADER 3" xfId="965" xr:uid="{00000000-0005-0000-0000-0000FF030000}"/>
    <cellStyle name="Header1" xfId="966" xr:uid="{00000000-0005-0000-0000-000000040000}"/>
    <cellStyle name="Header2" xfId="967" xr:uid="{00000000-0005-0000-0000-000001040000}"/>
    <cellStyle name="heading" xfId="968" xr:uid="{00000000-0005-0000-0000-000002040000}"/>
    <cellStyle name="Heading 1" xfId="969" xr:uid="{00000000-0005-0000-0000-000003040000}"/>
    <cellStyle name="Heading 1 10 2" xfId="970" xr:uid="{00000000-0005-0000-0000-000004040000}"/>
    <cellStyle name="Heading 1 2 2" xfId="971" xr:uid="{00000000-0005-0000-0000-000005040000}"/>
    <cellStyle name="Heading 1 2 6" xfId="972" xr:uid="{00000000-0005-0000-0000-000006040000}"/>
    <cellStyle name="Heading 1 2_All SMC 20140314-miranda" xfId="973" xr:uid="{00000000-0005-0000-0000-000007040000}"/>
    <cellStyle name="Heading 1_ DQA test item" xfId="974" xr:uid="{00000000-0005-0000-0000-000008040000}"/>
    <cellStyle name="Heading 2" xfId="975" xr:uid="{00000000-0005-0000-0000-000009040000}"/>
    <cellStyle name="Heading 2 10 2" xfId="976" xr:uid="{00000000-0005-0000-0000-00000A040000}"/>
    <cellStyle name="Heading 2 2 2" xfId="977" xr:uid="{00000000-0005-0000-0000-00000B040000}"/>
    <cellStyle name="Heading 2 2 6" xfId="978" xr:uid="{00000000-0005-0000-0000-00000C040000}"/>
    <cellStyle name="Heading 2 2_All SMC 20140314-miranda" xfId="979" xr:uid="{00000000-0005-0000-0000-00000D040000}"/>
    <cellStyle name="Heading 2_ DQA test item" xfId="980" xr:uid="{00000000-0005-0000-0000-00000E040000}"/>
    <cellStyle name="Heading 3 10 2" xfId="981" xr:uid="{00000000-0005-0000-0000-00000F040000}"/>
    <cellStyle name="Heading 3 2 2" xfId="982" xr:uid="{00000000-0005-0000-0000-000010040000}"/>
    <cellStyle name="Heading 3 2 6" xfId="983" xr:uid="{00000000-0005-0000-0000-000011040000}"/>
    <cellStyle name="Heading 3 2_All SMC 20140314-miranda" xfId="984" xr:uid="{00000000-0005-0000-0000-000012040000}"/>
    <cellStyle name="Heading 4 2 3" xfId="985" xr:uid="{00000000-0005-0000-0000-000013040000}"/>
    <cellStyle name="Heading 4 2 6" xfId="986" xr:uid="{00000000-0005-0000-0000-000014040000}"/>
    <cellStyle name="Heading 4 2_All SMC 20140314-miranda" xfId="987" xr:uid="{00000000-0005-0000-0000-000015040000}"/>
    <cellStyle name="Heading 4 8" xfId="988" xr:uid="{00000000-0005-0000-0000-000016040000}"/>
    <cellStyle name="Heading 4 9" xfId="989" xr:uid="{00000000-0005-0000-0000-000017040000}"/>
    <cellStyle name="Heading 4_4551-000700-02" xfId="990" xr:uid="{00000000-0005-0000-0000-000018040000}"/>
    <cellStyle name="Heading 5" xfId="991" xr:uid="{00000000-0005-0000-0000-000019040000}"/>
    <cellStyle name="Heading_L620.L820" xfId="992" xr:uid="{00000000-0005-0000-0000-00001A040000}"/>
    <cellStyle name="Heading1" xfId="993" xr:uid="{00000000-0005-0000-0000-00001B040000}"/>
    <cellStyle name="Heading1 1" xfId="994" xr:uid="{00000000-0005-0000-0000-00001C040000}"/>
    <cellStyle name="HEADING1 2" xfId="995" xr:uid="{00000000-0005-0000-0000-00001D040000}"/>
    <cellStyle name="Heading1 4" xfId="996" xr:uid="{00000000-0005-0000-0000-00001E040000}"/>
    <cellStyle name="Heading1 5" xfId="997" xr:uid="{00000000-0005-0000-0000-00001F040000}"/>
    <cellStyle name="Heading1_L620.L820" xfId="998" xr:uid="{00000000-0005-0000-0000-000020040000}"/>
    <cellStyle name="HEADING2 2" xfId="999" xr:uid="{00000000-0005-0000-0000-000021040000}"/>
    <cellStyle name="Heading3" xfId="1000" xr:uid="{00000000-0005-0000-0000-000022040000}"/>
    <cellStyle name="HEADINGS" xfId="1001" xr:uid="{00000000-0005-0000-0000-000023040000}"/>
    <cellStyle name="HEADINGSTOP" xfId="1002" xr:uid="{00000000-0005-0000-0000-000024040000}"/>
    <cellStyle name="Headline I" xfId="1003" xr:uid="{00000000-0005-0000-0000-000025040000}"/>
    <cellStyle name="Headline II" xfId="1004" xr:uid="{00000000-0005-0000-0000-000026040000}"/>
    <cellStyle name="Headline III" xfId="1005" xr:uid="{00000000-0005-0000-0000-000027040000}"/>
    <cellStyle name="HIGHLIGHT" xfId="1006" xr:uid="{00000000-0005-0000-0000-000028040000}"/>
    <cellStyle name="Hyperlink" xfId="1007" xr:uid="{00000000-0005-0000-0000-000029040000}"/>
    <cellStyle name="Hyperlink 3" xfId="1008" xr:uid="{00000000-0005-0000-0000-00002A040000}"/>
    <cellStyle name="IBM(401K)" xfId="1009" xr:uid="{00000000-0005-0000-0000-00002B040000}"/>
    <cellStyle name="Indice" xfId="1010" xr:uid="{00000000-0005-0000-0000-00002C040000}"/>
    <cellStyle name="Input [yellow]" xfId="1011" xr:uid="{00000000-0005-0000-0000-00002D040000}"/>
    <cellStyle name="Input [yellow] 2 2 5" xfId="1012" xr:uid="{00000000-0005-0000-0000-00002E040000}"/>
    <cellStyle name="Input [yellow] 2 4 2" xfId="1013" xr:uid="{00000000-0005-0000-0000-00002F040000}"/>
    <cellStyle name="Input 10" xfId="1014" xr:uid="{00000000-0005-0000-0000-000030040000}"/>
    <cellStyle name="Input 100" xfId="1015" xr:uid="{00000000-0005-0000-0000-000031040000}"/>
    <cellStyle name="Input 101" xfId="1016" xr:uid="{00000000-0005-0000-0000-000032040000}"/>
    <cellStyle name="Input 118" xfId="1017" xr:uid="{00000000-0005-0000-0000-000033040000}"/>
    <cellStyle name="Input 2 3" xfId="1018" xr:uid="{00000000-0005-0000-0000-000034040000}"/>
    <cellStyle name="Input Cells 2" xfId="1019" xr:uid="{00000000-0005-0000-0000-000035040000}"/>
    <cellStyle name="Input Cells 6" xfId="1020" xr:uid="{00000000-0005-0000-0000-000036040000}"/>
    <cellStyle name="Input__BP 8x2.5" xfId="1021" xr:uid="{00000000-0005-0000-0000-000037040000}"/>
    <cellStyle name="intel - intel por style" xfId="1022" xr:uid="{00000000-0005-0000-0000-000038040000}"/>
    <cellStyle name="Italic,10pt" xfId="1023" xr:uid="{00000000-0005-0000-0000-000039040000}"/>
    <cellStyle name="Item_Current" xfId="1024" xr:uid="{00000000-0005-0000-0000-00003A040000}"/>
    <cellStyle name="J1 2" xfId="1025" xr:uid="{00000000-0005-0000-0000-00003B040000}"/>
    <cellStyle name="J401K" xfId="1026" xr:uid="{00000000-0005-0000-0000-00003C040000}"/>
    <cellStyle name="keisen" xfId="1027" xr:uid="{00000000-0005-0000-0000-00003D040000}"/>
    <cellStyle name="KEY" xfId="1028" xr:uid="{00000000-0005-0000-0000-00003E040000}"/>
    <cellStyle name="kita" xfId="1029" xr:uid="{00000000-0005-0000-0000-00003F040000}"/>
    <cellStyle name="Labels - Style3" xfId="1030" xr:uid="{00000000-0005-0000-0000-000040040000}"/>
    <cellStyle name="left" xfId="1031" xr:uid="{00000000-0005-0000-0000-000041040000}"/>
    <cellStyle name="Lien hypertexte" xfId="1032" xr:uid="{00000000-0005-0000-0000-000042040000}"/>
    <cellStyle name="Lien hypertexte visité" xfId="1033" xr:uid="{00000000-0005-0000-0000-000043040000}"/>
    <cellStyle name="LineItemValue" xfId="1034" xr:uid="{00000000-0005-0000-0000-000045040000}"/>
    <cellStyle name="Link Currency (0)" xfId="1035" xr:uid="{00000000-0005-0000-0000-000046040000}"/>
    <cellStyle name="Linked Cell 2 3" xfId="1036" xr:uid="{00000000-0005-0000-0000-000047040000}"/>
    <cellStyle name="Linked Cell 2 6" xfId="1037" xr:uid="{00000000-0005-0000-0000-000048040000}"/>
    <cellStyle name="Linked Cell 8" xfId="1038" xr:uid="{00000000-0005-0000-0000-000049040000}"/>
    <cellStyle name="Linked Cells 2" xfId="1039" xr:uid="{00000000-0005-0000-0000-00004A040000}"/>
    <cellStyle name="Linked Cells 6" xfId="1040" xr:uid="{00000000-0005-0000-0000-00004B040000}"/>
    <cellStyle name="Millier" xfId="1041" xr:uid="{00000000-0005-0000-0000-00004C040000}"/>
    <cellStyle name="Milliers [0]_!!!GO" xfId="1042" xr:uid="{00000000-0005-0000-0000-00004D040000}"/>
    <cellStyle name="Milliers_!!!GO" xfId="1043" xr:uid="{00000000-0005-0000-0000-00004E040000}"/>
    <cellStyle name="MilliersN&amp;R,0" xfId="1044" xr:uid="{00000000-0005-0000-0000-00004F040000}"/>
    <cellStyle name="Mon?aire [0]_!!!GO" xfId="1045" xr:uid="{00000000-0005-0000-0000-000050040000}"/>
    <cellStyle name="Mon?aire_!!!GO" xfId="1046" xr:uid="{00000000-0005-0000-0000-000051040000}"/>
    <cellStyle name="Mon?taire [0]_!!!GO" xfId="1047" xr:uid="{00000000-0005-0000-0000-000052040000}"/>
    <cellStyle name="Mon?taire_!!!GO" xfId="1048" xr:uid="{00000000-0005-0000-0000-000053040000}"/>
    <cellStyle name="Monetaire [0]_!!!GO" xfId="1049" xr:uid="{00000000-0005-0000-0000-000054040000}"/>
    <cellStyle name="Monétaire [0]_!!!GO" xfId="1050" xr:uid="{00000000-0005-0000-0000-000055040000}"/>
    <cellStyle name="Monetaire_!!!GO" xfId="1051" xr:uid="{00000000-0005-0000-0000-000056040000}"/>
    <cellStyle name="Monétaire_!!!GO" xfId="1052" xr:uid="{00000000-0005-0000-0000-000057040000}"/>
    <cellStyle name="Monétaire0" xfId="1053" xr:uid="{00000000-0005-0000-0000-000058040000}"/>
    <cellStyle name="Mon騁aire [0]_!!!GO" xfId="1054" xr:uid="{00000000-0005-0000-0000-000059040000}"/>
    <cellStyle name="Mon騁aire_!!!GO" xfId="1055" xr:uid="{00000000-0005-0000-0000-00005A040000}"/>
    <cellStyle name="Mon谷taire [0]_!!!GO" xfId="1056" xr:uid="{00000000-0005-0000-0000-00005B040000}"/>
    <cellStyle name="Mon谷taire_!!!GO" xfId="1057" xr:uid="{00000000-0005-0000-0000-00005C040000}"/>
    <cellStyle name="Mon彋aire [0]_AR1194" xfId="1058" xr:uid="{00000000-0005-0000-0000-00005D040000}"/>
    <cellStyle name="Mon彋aire_AR1194" xfId="1059" xr:uid="{00000000-0005-0000-0000-00005E040000}"/>
    <cellStyle name="Nadpis 1" xfId="1060" xr:uid="{00000000-0005-0000-0000-00005F040000}"/>
    <cellStyle name="Nadpis 2" xfId="1061" xr:uid="{00000000-0005-0000-0000-000060040000}"/>
    <cellStyle name="Nadpis 3" xfId="1062" xr:uid="{00000000-0005-0000-0000-000061040000}"/>
    <cellStyle name="Nadpis 4" xfId="1063" xr:uid="{00000000-0005-0000-0000-000062040000}"/>
    <cellStyle name="Neutral 2 2" xfId="1064" xr:uid="{00000000-0005-0000-0000-000063040000}"/>
    <cellStyle name="Neutral 2 3" xfId="1065" xr:uid="{00000000-0005-0000-0000-000064040000}"/>
    <cellStyle name="Neutral 8" xfId="1066" xr:uid="{00000000-0005-0000-0000-000065040000}"/>
    <cellStyle name="Neutral_4551-000700-02" xfId="1067" xr:uid="{00000000-0005-0000-0000-000066040000}"/>
    <cellStyle name="Neutrální" xfId="1068" xr:uid="{00000000-0005-0000-0000-000067040000}"/>
    <cellStyle name="New" xfId="1069" xr:uid="{00000000-0005-0000-0000-000068040000}"/>
    <cellStyle name="New Times Roman 2" xfId="1070" xr:uid="{00000000-0005-0000-0000-000069040000}"/>
    <cellStyle name="new2" xfId="1071" xr:uid="{00000000-0005-0000-0000-00006A040000}"/>
    <cellStyle name="no dec" xfId="1072" xr:uid="{00000000-0005-0000-0000-00006B040000}"/>
    <cellStyle name="Non défini" xfId="1073" xr:uid="{00000000-0005-0000-0000-00006C040000}"/>
    <cellStyle name="Normal - Style1" xfId="1074" xr:uid="{00000000-0005-0000-0000-00006D040000}"/>
    <cellStyle name="Normal - Style1 2 2 5" xfId="1075" xr:uid="{00000000-0005-0000-0000-00006E040000}"/>
    <cellStyle name="Normal - Style1 3 2" xfId="1076" xr:uid="{00000000-0005-0000-0000-00006F040000}"/>
    <cellStyle name="Normal 10" xfId="1077" xr:uid="{00000000-0005-0000-0000-000070040000}"/>
    <cellStyle name="Normal 2 10" xfId="1078" xr:uid="{00000000-0005-0000-0000-000071040000}"/>
    <cellStyle name="Normal 2 12" xfId="1079" xr:uid="{00000000-0005-0000-0000-000072040000}"/>
    <cellStyle name="Normal 2 2_4551-000700-02" xfId="1080" xr:uid="{00000000-0005-0000-0000-000073040000}"/>
    <cellStyle name="Normal 2 3 12" xfId="1081" xr:uid="{00000000-0005-0000-0000-000074040000}"/>
    <cellStyle name="Normal 2 3_4551-000700-02" xfId="1082" xr:uid="{00000000-0005-0000-0000-000075040000}"/>
    <cellStyle name="Normal 2 4_4551-000700-02" xfId="1083" xr:uid="{00000000-0005-0000-0000-000076040000}"/>
    <cellStyle name="Normal 2 5 3" xfId="1084" xr:uid="{00000000-0005-0000-0000-000077040000}"/>
    <cellStyle name="Normal 2 7 2" xfId="1085" xr:uid="{00000000-0005-0000-0000-000078040000}"/>
    <cellStyle name="Normal 3 10 2 2" xfId="1086" xr:uid="{00000000-0005-0000-0000-000079040000}"/>
    <cellStyle name="Normal 4 2 2 2" xfId="1087" xr:uid="{00000000-0005-0000-0000-00007A040000}"/>
    <cellStyle name="Normal 4 2 3" xfId="1088" xr:uid="{00000000-0005-0000-0000-00007B040000}"/>
    <cellStyle name="Normal 4 2 6" xfId="1089" xr:uid="{00000000-0005-0000-0000-00007C040000}"/>
    <cellStyle name="Normal 5 13" xfId="1090" xr:uid="{00000000-0005-0000-0000-00007D040000}"/>
    <cellStyle name="Normal 5 2 6" xfId="1091" xr:uid="{00000000-0005-0000-0000-00007E040000}"/>
    <cellStyle name="Normal 9 2" xfId="1092" xr:uid="{00000000-0005-0000-0000-00007F040000}"/>
    <cellStyle name="Normal[pldt_8" xfId="1093" xr:uid="{00000000-0005-0000-0000-000080040000}"/>
    <cellStyle name="Normál_Com2002_NRC" xfId="1094" xr:uid="{00000000-0005-0000-0000-000081040000}"/>
    <cellStyle name="Normal_Copy of 35500-L53HLH_EIPF05_110831" xfId="1095" xr:uid="{00000000-0005-0000-0000-000082040000}"/>
    <cellStyle name="Normál_Ford C1 quotations új" xfId="1096" xr:uid="{00000000-0005-0000-0000-000083040000}"/>
    <cellStyle name="Normal_PCB Required Form" xfId="1097" xr:uid="{00000000-0005-0000-0000-000084040000}"/>
    <cellStyle name="Normale_761165UK" xfId="1098" xr:uid="{00000000-0005-0000-0000-000085040000}"/>
    <cellStyle name="Normální 3" xfId="1099" xr:uid="{00000000-0005-0000-0000-000086040000}"/>
    <cellStyle name="Notas" xfId="1100" xr:uid="{00000000-0005-0000-0000-000087040000}"/>
    <cellStyle name="Note 10" xfId="1101" xr:uid="{00000000-0005-0000-0000-000088040000}"/>
    <cellStyle name="Note 10 3" xfId="1102" xr:uid="{00000000-0005-0000-0000-000089040000}"/>
    <cellStyle name="Note 12 2" xfId="1103" xr:uid="{00000000-0005-0000-0000-00008A040000}"/>
    <cellStyle name="Note 2 2" xfId="1104" xr:uid="{00000000-0005-0000-0000-00008B040000}"/>
    <cellStyle name="Note 3" xfId="1105" xr:uid="{00000000-0005-0000-0000-00008C040000}"/>
    <cellStyle name="Notiz 2" xfId="1106" xr:uid="{00000000-0005-0000-0000-00008D040000}"/>
    <cellStyle name="Num_Date" xfId="1107" xr:uid="{00000000-0005-0000-0000-00008E040000}"/>
    <cellStyle name="number-red" xfId="1108" xr:uid="{00000000-0005-0000-0000-00008F040000}"/>
    <cellStyle name="Ö" xfId="1109" xr:uid="{00000000-0005-0000-0000-000090040000}"/>
    <cellStyle name="Œ…‹æØ‚è [0.00]_!!!GO" xfId="1110" xr:uid="{00000000-0005-0000-0000-000091040000}"/>
    <cellStyle name="Œ…‹æØ‚è_!!!GO" xfId="1111" xr:uid="{00000000-0005-0000-0000-000092040000}"/>
    <cellStyle name="oem name" xfId="1112" xr:uid="{00000000-0005-0000-0000-000093040000}"/>
    <cellStyle name="oft Excel]_x000a__x000a_Options5=1667_x000a__x000a_Options3=0_x000a__x000a_Basics=1_x000a__x000a_USER=アサヒ_x000a__x000a_CBTLOCATION=A:\MSOFFICE\EXCEL5\EXCELCBT_x000a__x000a_Pos=5,14,628" xfId="1113" xr:uid="{00000000-0005-0000-0000-000094040000}"/>
    <cellStyle name="Output 2 3" xfId="1114" xr:uid="{00000000-0005-0000-0000-000095040000}"/>
    <cellStyle name="Output 7 2" xfId="1115" xr:uid="{00000000-0005-0000-0000-000096040000}"/>
    <cellStyle name="Output 9" xfId="1116" xr:uid="{00000000-0005-0000-0000-000097040000}"/>
    <cellStyle name="Output Amounts" xfId="1117" xr:uid="{00000000-0005-0000-0000-000098040000}"/>
    <cellStyle name="Output Amounts 2" xfId="1118" xr:uid="{00000000-0005-0000-0000-000099040000}"/>
    <cellStyle name="Output Column Headings" xfId="1119" xr:uid="{00000000-0005-0000-0000-00009A040000}"/>
    <cellStyle name="Output Line Items" xfId="1120" xr:uid="{00000000-0005-0000-0000-00009B040000}"/>
    <cellStyle name="Output Report Heading" xfId="1121" xr:uid="{00000000-0005-0000-0000-00009C040000}"/>
    <cellStyle name="Output Report Title" xfId="1122" xr:uid="{00000000-0005-0000-0000-00009D040000}"/>
    <cellStyle name="paint 3 2" xfId="1123" xr:uid="{00000000-0005-0000-0000-00009E040000}"/>
    <cellStyle name="Pat" xfId="1124" xr:uid="{00000000-0005-0000-0000-00009F040000}"/>
    <cellStyle name="Pattern_Forecast" xfId="1125" xr:uid="{00000000-0005-0000-0000-0000A0040000}"/>
    <cellStyle name="per.style" xfId="1126" xr:uid="{00000000-0005-0000-0000-0000A1040000}"/>
    <cellStyle name="Percent (0)" xfId="1127" xr:uid="{00000000-0005-0000-0000-0000A2040000}"/>
    <cellStyle name="Percent [0] 2 2 5" xfId="1128" xr:uid="{00000000-0005-0000-0000-0000A3040000}"/>
    <cellStyle name="Percent [0] 2 3 2" xfId="1129" xr:uid="{00000000-0005-0000-0000-0000A4040000}"/>
    <cellStyle name="Percent [00]" xfId="1130" xr:uid="{00000000-0005-0000-0000-0000A5040000}"/>
    <cellStyle name="Percent [00] 2 2 5" xfId="1131" xr:uid="{00000000-0005-0000-0000-0000A6040000}"/>
    <cellStyle name="Percent [00] 2 3 2" xfId="1132" xr:uid="{00000000-0005-0000-0000-0000A7040000}"/>
    <cellStyle name="Percent [2] 2 2 5" xfId="1133" xr:uid="{00000000-0005-0000-0000-0000A8040000}"/>
    <cellStyle name="Percent [2] 2 3 2" xfId="1134" xr:uid="{00000000-0005-0000-0000-0000A9040000}"/>
    <cellStyle name="Percent 2 11" xfId="1135" xr:uid="{00000000-0005-0000-0000-0000AA040000}"/>
    <cellStyle name="Percent 2 2 2 5" xfId="1136" xr:uid="{00000000-0005-0000-0000-0000AB040000}"/>
    <cellStyle name="Percent 2 3 2 2" xfId="1137" xr:uid="{00000000-0005-0000-0000-0000AC040000}"/>
    <cellStyle name="Percent 4 2 3" xfId="1138" xr:uid="{00000000-0005-0000-0000-0000AD040000}"/>
    <cellStyle name="Percent 4 6" xfId="1139" xr:uid="{00000000-0005-0000-0000-0000AE040000}"/>
    <cellStyle name="PERCENTAGE" xfId="1140" xr:uid="{00000000-0005-0000-0000-0000AF040000}"/>
    <cellStyle name="Popis" xfId="1141" xr:uid="{00000000-0005-0000-0000-0000B0040000}"/>
    <cellStyle name="Pourcentage_matiere" xfId="1142" xr:uid="{00000000-0005-0000-0000-0000B1040000}"/>
    <cellStyle name="PourcentageN&amp;R,0" xfId="1143" xr:uid="{00000000-0005-0000-0000-0000B2040000}"/>
    <cellStyle name="Preliminary_Data" xfId="1144" xr:uid="{00000000-0005-0000-0000-0000B3040000}"/>
    <cellStyle name="PrePop Currency (0)" xfId="1145" xr:uid="{00000000-0005-0000-0000-0000B4040000}"/>
    <cellStyle name="price" xfId="1146" xr:uid="{00000000-0005-0000-0000-0000B5040000}"/>
    <cellStyle name="Pricelist" xfId="1147" xr:uid="{00000000-0005-0000-0000-0000B6040000}"/>
    <cellStyle name="Prices_Data" xfId="1148" xr:uid="{00000000-0005-0000-0000-0000B7040000}"/>
    <cellStyle name="pricing" xfId="1149" xr:uid="{00000000-0005-0000-0000-0000B8040000}"/>
    <cellStyle name="pricing 4 2" xfId="1150" xr:uid="{00000000-0005-0000-0000-0000B9040000}"/>
    <cellStyle name="pricing 6" xfId="1151" xr:uid="{00000000-0005-0000-0000-0000BA040000}"/>
    <cellStyle name="Product" xfId="1152" xr:uid="{00000000-0005-0000-0000-0000BB040000}"/>
    <cellStyle name="Prozent 3" xfId="1153" xr:uid="{00000000-0005-0000-0000-0000BC040000}"/>
    <cellStyle name="Prozent_B_Seg_EU" xfId="1154" xr:uid="{00000000-0005-0000-0000-0000BD040000}"/>
    <cellStyle name="PSChar" xfId="1155" xr:uid="{00000000-0005-0000-0000-0000BE040000}"/>
    <cellStyle name="PSDate" xfId="1156" xr:uid="{00000000-0005-0000-0000-0000BF040000}"/>
    <cellStyle name="PSDec" xfId="1157" xr:uid="{00000000-0005-0000-0000-0000C0040000}"/>
    <cellStyle name="PSHeading" xfId="1158" xr:uid="{00000000-0005-0000-0000-0000C1040000}"/>
    <cellStyle name="PSInt" xfId="1159" xr:uid="{00000000-0005-0000-0000-0000C2040000}"/>
    <cellStyle name="PSSpacer" xfId="1160" xr:uid="{00000000-0005-0000-0000-0000C3040000}"/>
    <cellStyle name="Q" xfId="1161" xr:uid="{00000000-0005-0000-0000-0000C4040000}"/>
    <cellStyle name="QDF" xfId="1162" xr:uid="{00000000-0005-0000-0000-0000C5040000}"/>
    <cellStyle name="Red,Bold,12pt" xfId="1163" xr:uid="{00000000-0005-0000-0000-0000C6040000}"/>
    <cellStyle name="regstoresfromspecstores" xfId="1164" xr:uid="{00000000-0005-0000-0000-0000C7040000}"/>
    <cellStyle name="ReportTitlePrompt" xfId="1165" xr:uid="{00000000-0005-0000-0000-0000C8040000}"/>
    <cellStyle name="ReportTitleValue" xfId="1166" xr:uid="{00000000-0005-0000-0000-0000C9040000}"/>
    <cellStyle name="Result" xfId="1167" xr:uid="{00000000-0005-0000-0000-0000CA040000}"/>
    <cellStyle name="Result 3" xfId="1168" xr:uid="{00000000-0005-0000-0000-0000CB040000}"/>
    <cellStyle name="Result 5" xfId="1169" xr:uid="{00000000-0005-0000-0000-0000CC040000}"/>
    <cellStyle name="Result2" xfId="1170" xr:uid="{00000000-0005-0000-0000-0000CD040000}"/>
    <cellStyle name="Result2 3" xfId="1171" xr:uid="{00000000-0005-0000-0000-0000CE040000}"/>
    <cellStyle name="Result2 5" xfId="1172" xr:uid="{00000000-0005-0000-0000-0000CF040000}"/>
    <cellStyle name="revised" xfId="1173" xr:uid="{00000000-0005-0000-0000-0000D0040000}"/>
    <cellStyle name="RevList" xfId="1174" xr:uid="{00000000-0005-0000-0000-0000D1040000}"/>
    <cellStyle name="RevList 3 2" xfId="1175" xr:uid="{00000000-0005-0000-0000-0000D2040000}"/>
    <cellStyle name="RowAcctAbovePrompt" xfId="1176" xr:uid="{00000000-0005-0000-0000-0000D3040000}"/>
    <cellStyle name="RowAcctSOBAbovePrompt" xfId="1177" xr:uid="{00000000-0005-0000-0000-0000D4040000}"/>
    <cellStyle name="RowAcctSOBValue" xfId="1178" xr:uid="{00000000-0005-0000-0000-0000D5040000}"/>
    <cellStyle name="RowAcctValue" xfId="1179" xr:uid="{00000000-0005-0000-0000-0000D6040000}"/>
    <cellStyle name="RowAttrValue" xfId="1180" xr:uid="{00000000-0005-0000-0000-0000D7040000}"/>
    <cellStyle name="RowColSetAbovePrompt" xfId="1181" xr:uid="{00000000-0005-0000-0000-0000D8040000}"/>
    <cellStyle name="RowColSetLeftPrompt" xfId="1182" xr:uid="{00000000-0005-0000-0000-0000D9040000}"/>
    <cellStyle name="RowColSetValue" xfId="1183" xr:uid="{00000000-0005-0000-0000-0000DA040000}"/>
    <cellStyle name="Ś…‹ćŘ‚č [0.00]_!!!GO" xfId="1184" xr:uid="{00000000-0005-0000-0000-0000DB040000}"/>
    <cellStyle name="Ś…‹ćŘ‚č_!!!GO" xfId="1185" xr:uid="{00000000-0005-0000-0000-0000DC040000}"/>
    <cellStyle name="Saisie" xfId="1186" xr:uid="{00000000-0005-0000-0000-0000DD040000}"/>
    <cellStyle name="Saisie%1" xfId="1187" xr:uid="{00000000-0005-0000-0000-0000DE040000}"/>
    <cellStyle name="Saisie_Feuil1" xfId="1188" xr:uid="{00000000-0005-0000-0000-0000DF040000}"/>
    <cellStyle name="SaisieNb0" xfId="1189" xr:uid="{00000000-0005-0000-0000-0000E0040000}"/>
    <cellStyle name="SaisieNb1" xfId="1190" xr:uid="{00000000-0005-0000-0000-0000E1040000}"/>
    <cellStyle name="SampleUsingFormatMask" xfId="1191" xr:uid="{00000000-0005-0000-0000-0000E2040000}"/>
    <cellStyle name="SampleWithNoFormatMask" xfId="1192" xr:uid="{00000000-0005-0000-0000-0000E3040000}"/>
    <cellStyle name="SAPBEXaggData" xfId="1193" xr:uid="{00000000-0005-0000-0000-0000E4040000}"/>
    <cellStyle name="SAPBEXaggDataEmph" xfId="1194" xr:uid="{00000000-0005-0000-0000-0000E5040000}"/>
    <cellStyle name="SAPBEXaggItem" xfId="1195" xr:uid="{00000000-0005-0000-0000-0000E6040000}"/>
    <cellStyle name="SAPBEXaggItemX" xfId="1196" xr:uid="{00000000-0005-0000-0000-0000E7040000}"/>
    <cellStyle name="SAPBEXchaText 2" xfId="1197" xr:uid="{00000000-0005-0000-0000-0000E8040000}"/>
    <cellStyle name="SAPBEXchaText 3" xfId="1198" xr:uid="{00000000-0005-0000-0000-0000E9040000}"/>
    <cellStyle name="SAPBEXexcBad7" xfId="1199" xr:uid="{00000000-0005-0000-0000-0000EA040000}"/>
    <cellStyle name="SAPBEXexcBad8" xfId="1200" xr:uid="{00000000-0005-0000-0000-0000EB040000}"/>
    <cellStyle name="SAPBEXexcBad9" xfId="1201" xr:uid="{00000000-0005-0000-0000-0000EC040000}"/>
    <cellStyle name="SAPBEXexcCritical4" xfId="1202" xr:uid="{00000000-0005-0000-0000-0000ED040000}"/>
    <cellStyle name="SAPBEXexcCritical5" xfId="1203" xr:uid="{00000000-0005-0000-0000-0000EE040000}"/>
    <cellStyle name="SAPBEXexcCritical6" xfId="1204" xr:uid="{00000000-0005-0000-0000-0000EF040000}"/>
    <cellStyle name="SAPBEXexcGood1" xfId="1205" xr:uid="{00000000-0005-0000-0000-0000F0040000}"/>
    <cellStyle name="SAPBEXexcGood2" xfId="1206" xr:uid="{00000000-0005-0000-0000-0000F1040000}"/>
    <cellStyle name="SAPBEXexcGood3" xfId="1207" xr:uid="{00000000-0005-0000-0000-0000F2040000}"/>
    <cellStyle name="SAPBEXfilterDrill" xfId="1208" xr:uid="{00000000-0005-0000-0000-0000F3040000}"/>
    <cellStyle name="SAPBEXfilterItem" xfId="1209" xr:uid="{00000000-0005-0000-0000-0000F4040000}"/>
    <cellStyle name="SAPBEXfilterText" xfId="1210" xr:uid="{00000000-0005-0000-0000-0000F5040000}"/>
    <cellStyle name="SAPBEXformats" xfId="1211" xr:uid="{00000000-0005-0000-0000-0000F6040000}"/>
    <cellStyle name="SAPBEXheaderText" xfId="1212" xr:uid="{00000000-0005-0000-0000-0000F7040000}"/>
    <cellStyle name="SAPBEXHLevel0 2" xfId="1213" xr:uid="{00000000-0005-0000-0000-0000F8040000}"/>
    <cellStyle name="SAPBEXHLevel0X" xfId="1214" xr:uid="{00000000-0005-0000-0000-0000F9040000}"/>
    <cellStyle name="SAPBEXHLevel1 2" xfId="1215" xr:uid="{00000000-0005-0000-0000-0000FA040000}"/>
    <cellStyle name="SAPBEXHLevel1X" xfId="1216" xr:uid="{00000000-0005-0000-0000-0000FB040000}"/>
    <cellStyle name="SAPBEXHLevel2" xfId="1217" xr:uid="{00000000-0005-0000-0000-0000FC040000}"/>
    <cellStyle name="SAPBEXHLevel2X" xfId="1218" xr:uid="{00000000-0005-0000-0000-0000FD040000}"/>
    <cellStyle name="SAPBEXHLevel3" xfId="1219" xr:uid="{00000000-0005-0000-0000-0000FE040000}"/>
    <cellStyle name="SAPBEXHLevel3X" xfId="1220" xr:uid="{00000000-0005-0000-0000-0000FF040000}"/>
    <cellStyle name="SAPBEXresData" xfId="1221" xr:uid="{00000000-0005-0000-0000-000000050000}"/>
    <cellStyle name="SAPBEXresDataEmph" xfId="1222" xr:uid="{00000000-0005-0000-0000-000001050000}"/>
    <cellStyle name="SAPBEXresItem" xfId="1223" xr:uid="{00000000-0005-0000-0000-000002050000}"/>
    <cellStyle name="SAPBEXresItemX" xfId="1224" xr:uid="{00000000-0005-0000-0000-000003050000}"/>
    <cellStyle name="SAPBEXstdData" xfId="1225" xr:uid="{00000000-0005-0000-0000-000004050000}"/>
    <cellStyle name="SAPBEXstdData 2" xfId="1226" xr:uid="{00000000-0005-0000-0000-000005050000}"/>
    <cellStyle name="SAPBEXstdDataEmph" xfId="1227" xr:uid="{00000000-0005-0000-0000-000006050000}"/>
    <cellStyle name="SAPBEXstdItem 2" xfId="1228" xr:uid="{00000000-0005-0000-0000-000007050000}"/>
    <cellStyle name="SAPBEXstdItemX 2" xfId="1229" xr:uid="{00000000-0005-0000-0000-000008050000}"/>
    <cellStyle name="SAPBEXtitle" xfId="1230" xr:uid="{00000000-0005-0000-0000-000009050000}"/>
    <cellStyle name="SAPBEXundefined" xfId="1231" xr:uid="{00000000-0005-0000-0000-00000A050000}"/>
    <cellStyle name="section" xfId="1232" xr:uid="{00000000-0005-0000-0000-00000B050000}"/>
    <cellStyle name="shade" xfId="1233" xr:uid="{00000000-0005-0000-0000-00000C050000}"/>
    <cellStyle name="SHADEDSTORES" xfId="1234" xr:uid="{00000000-0005-0000-0000-00000D050000}"/>
    <cellStyle name="Sheet Title 2 2 2" xfId="1235" xr:uid="{00000000-0005-0000-0000-00000E050000}"/>
    <cellStyle name="Sheet Title 3 2" xfId="1236" xr:uid="{00000000-0005-0000-0000-00000F050000}"/>
    <cellStyle name="shuibing.lee" xfId="1237" xr:uid="{00000000-0005-0000-0000-000010050000}"/>
    <cellStyle name="SPECIAL" xfId="1238" xr:uid="{00000000-0005-0000-0000-000011050000}"/>
    <cellStyle name="specstores" xfId="1239" xr:uid="{00000000-0005-0000-0000-000012050000}"/>
    <cellStyle name="SSS" xfId="1240" xr:uid="{00000000-0005-0000-0000-000013050000}"/>
    <cellStyle name="STANDARD" xfId="1241" xr:uid="{00000000-0005-0000-0000-000014050000}"/>
    <cellStyle name="STANDARD 4 2" xfId="1242" xr:uid="{00000000-0005-0000-0000-000015050000}"/>
    <cellStyle name="STANDARD 5" xfId="1243" xr:uid="{00000000-0005-0000-0000-000016050000}"/>
    <cellStyle name="STANDARD 6" xfId="1244" xr:uid="{00000000-0005-0000-0000-000017050000}"/>
    <cellStyle name="Standard format" xfId="1245" xr:uid="{00000000-0005-0000-0000-000018050000}"/>
    <cellStyle name="Style 2" xfId="1246" xr:uid="{00000000-0005-0000-0000-000019050000}"/>
    <cellStyle name="Style 21" xfId="1247" xr:uid="{00000000-0005-0000-0000-00001A050000}"/>
    <cellStyle name="Style 22 2" xfId="1248" xr:uid="{00000000-0005-0000-0000-00001B050000}"/>
    <cellStyle name="Style 22 3 2" xfId="1249" xr:uid="{00000000-0005-0000-0000-00001C050000}"/>
    <cellStyle name="Style 23 3 2" xfId="1250" xr:uid="{00000000-0005-0000-0000-00001D050000}"/>
    <cellStyle name="Style 28" xfId="1251" xr:uid="{00000000-0005-0000-0000-00001E050000}"/>
    <cellStyle name="Style 29" xfId="1252" xr:uid="{00000000-0005-0000-0000-00001F050000}"/>
    <cellStyle name="Style 3" xfId="1253" xr:uid="{00000000-0005-0000-0000-000020050000}"/>
    <cellStyle name="Style 30" xfId="1254" xr:uid="{00000000-0005-0000-0000-000021050000}"/>
    <cellStyle name="Style 39" xfId="1255" xr:uid="{00000000-0005-0000-0000-000022050000}"/>
    <cellStyle name="Style 40" xfId="1256" xr:uid="{00000000-0005-0000-0000-000023050000}"/>
    <cellStyle name="Style 41" xfId="1257" xr:uid="{00000000-0005-0000-0000-000024050000}"/>
    <cellStyle name="Style 42" xfId="1258" xr:uid="{00000000-0005-0000-0000-000025050000}"/>
    <cellStyle name="Style 43" xfId="1259" xr:uid="{00000000-0005-0000-0000-000026050000}"/>
    <cellStyle name="Style 44" xfId="1260" xr:uid="{00000000-0005-0000-0000-000027050000}"/>
    <cellStyle name="Style 47" xfId="1261" xr:uid="{00000000-0005-0000-0000-000028050000}"/>
    <cellStyle name="Style 48" xfId="1262" xr:uid="{00000000-0005-0000-0000-000029050000}"/>
    <cellStyle name="Style 49" xfId="1263" xr:uid="{00000000-0005-0000-0000-00002A050000}"/>
    <cellStyle name="Subtotal" xfId="1264" xr:uid="{00000000-0005-0000-0000-00002B050000}"/>
    <cellStyle name="SYNTHESE" xfId="1265" xr:uid="{00000000-0005-0000-0000-00002C050000}"/>
    <cellStyle name="synthèse" xfId="1266" xr:uid="{00000000-0005-0000-0000-00002D050000}"/>
    <cellStyle name="Systems2winCalc 2 2 2" xfId="1267" xr:uid="{00000000-0005-0000-0000-00002E050000}"/>
    <cellStyle name="Systems2winCalc 3" xfId="1268" xr:uid="{00000000-0005-0000-0000-00002F050000}"/>
    <cellStyle name="Systems2winHeaderData 2 2 2" xfId="1269" xr:uid="{00000000-0005-0000-0000-000030050000}"/>
    <cellStyle name="Systems2winItalic 2 2 2" xfId="1270" xr:uid="{00000000-0005-0000-0000-000031050000}"/>
    <cellStyle name="Systems2winItalic 3" xfId="1271" xr:uid="{00000000-0005-0000-0000-000032050000}"/>
    <cellStyle name="Systems2winItalicLock 2 2 2" xfId="1272" xr:uid="{00000000-0005-0000-0000-000033050000}"/>
    <cellStyle name="Systems2winItalicLock 3" xfId="1273" xr:uid="{00000000-0005-0000-0000-000034050000}"/>
    <cellStyle name="Systems2winLabel 2 2 2" xfId="1274" xr:uid="{00000000-0005-0000-0000-000035050000}"/>
    <cellStyle name="Systems2winSubhead14 2 2 2" xfId="1275" xr:uid="{00000000-0005-0000-0000-000036050000}"/>
    <cellStyle name="Systems2winSubhead14 3" xfId="1276" xr:uid="{00000000-0005-0000-0000-000037050000}"/>
    <cellStyle name="Systems2winTitle 2 2 2" xfId="1277" xr:uid="{00000000-0005-0000-0000-000038050000}"/>
    <cellStyle name="Systems2winTitle 3" xfId="1278" xr:uid="{00000000-0005-0000-0000-000039050000}"/>
    <cellStyle name="Table  - Style5" xfId="1279" xr:uid="{00000000-0005-0000-0000-00003A050000}"/>
    <cellStyle name="taples Plaza" xfId="1280" xr:uid="{00000000-0005-0000-0000-00003B050000}"/>
    <cellStyle name="Text" xfId="1281" xr:uid="{00000000-0005-0000-0000-00003C050000}"/>
    <cellStyle name="Text all Centre 2" xfId="1282" xr:uid="{00000000-0005-0000-0000-00003D050000}"/>
    <cellStyle name="Text Center 2" xfId="1283" xr:uid="{00000000-0005-0000-0000-00003E050000}"/>
    <cellStyle name="Text Center Wrap 2" xfId="1284" xr:uid="{00000000-0005-0000-0000-00003F050000}"/>
    <cellStyle name="Text Indent A" xfId="1285" xr:uid="{00000000-0005-0000-0000-000040050000}"/>
    <cellStyle name="Text Indent A 2 2 2" xfId="1286" xr:uid="{00000000-0005-0000-0000-000041050000}"/>
    <cellStyle name="Text Indent B 2 2 5" xfId="1287" xr:uid="{00000000-0005-0000-0000-000042050000}"/>
    <cellStyle name="Text Indent B 4 2" xfId="1288" xr:uid="{00000000-0005-0000-0000-000043050000}"/>
    <cellStyle name="Text Indent C 2 2 5" xfId="1289" xr:uid="{00000000-0005-0000-0000-000044050000}"/>
    <cellStyle name="Text Indent C 4 2" xfId="1290" xr:uid="{00000000-0005-0000-0000-000045050000}"/>
    <cellStyle name="Text No Wrap 2" xfId="1291" xr:uid="{00000000-0005-0000-0000-000046050000}"/>
    <cellStyle name="Text No Wrap1 2" xfId="1292" xr:uid="{00000000-0005-0000-0000-000047050000}"/>
    <cellStyle name="Text Wrap 2" xfId="1293" xr:uid="{00000000-0005-0000-0000-000048050000}"/>
    <cellStyle name="Text Wrap 3" xfId="1294" xr:uid="{00000000-0005-0000-0000-000049050000}"/>
    <cellStyle name="Text Wrap Center 2" xfId="1295" xr:uid="{00000000-0005-0000-0000-00004A050000}"/>
    <cellStyle name="Thousands" xfId="1296" xr:uid="{00000000-0005-0000-0000-00004B050000}"/>
    <cellStyle name="Tickmark" xfId="1297" xr:uid="{00000000-0005-0000-0000-00004C050000}"/>
    <cellStyle name="Title  - Style1" xfId="1298" xr:uid="{00000000-0005-0000-0000-00004D050000}"/>
    <cellStyle name="Title  - Style6" xfId="1299" xr:uid="{00000000-0005-0000-0000-00004E050000}"/>
    <cellStyle name="Title 2 3" xfId="1300" xr:uid="{00000000-0005-0000-0000-00004F050000}"/>
    <cellStyle name="TOGGLEOFF" xfId="1301" xr:uid="{00000000-0005-0000-0000-000050050000}"/>
    <cellStyle name="TOGGLEON" xfId="1302" xr:uid="{00000000-0005-0000-0000-000051050000}"/>
    <cellStyle name="Total" xfId="1303" xr:uid="{00000000-0005-0000-0000-000052050000}"/>
    <cellStyle name="Total 2 3" xfId="1304" xr:uid="{00000000-0005-0000-0000-000053050000}"/>
    <cellStyle name="TotCol - Style5" xfId="1305" xr:uid="{00000000-0005-0000-0000-000054050000}"/>
    <cellStyle name="TotCol - Style7" xfId="1306" xr:uid="{00000000-0005-0000-0000-000055050000}"/>
    <cellStyle name="TotRow - Style4" xfId="1307" xr:uid="{00000000-0005-0000-0000-000056050000}"/>
    <cellStyle name="TotRow - Style8" xfId="1308" xr:uid="{00000000-0005-0000-0000-000057050000}"/>
    <cellStyle name="tronix" xfId="1309" xr:uid="{00000000-0005-0000-0000-000058050000}"/>
    <cellStyle name="Tusental (0)_40DM2" xfId="1310" xr:uid="{00000000-0005-0000-0000-000059050000}"/>
    <cellStyle name="Tusental_40DM2" xfId="1311" xr:uid="{00000000-0005-0000-0000-00005A050000}"/>
    <cellStyle name="Typ tovaru" xfId="1312" xr:uid="{00000000-0005-0000-0000-00005B050000}"/>
    <cellStyle name="Überschrift_BOM" xfId="1313" xr:uid="{00000000-0005-0000-0000-00005C050000}"/>
    <cellStyle name="Undefined" xfId="1314" xr:uid="{00000000-0005-0000-0000-00005D050000}"/>
    <cellStyle name="Undefiniert" xfId="1315" xr:uid="{00000000-0005-0000-0000-00005E050000}"/>
    <cellStyle name="Unit Costs 5 Dec" xfId="1316" xr:uid="{00000000-0005-0000-0000-00005F050000}"/>
    <cellStyle name="Unprot" xfId="1317" xr:uid="{00000000-0005-0000-0000-000060050000}"/>
    <cellStyle name="Unprot$" xfId="1318" xr:uid="{00000000-0005-0000-0000-000061050000}"/>
    <cellStyle name="Unprot_All BOMS Metro" xfId="1319" xr:uid="{00000000-0005-0000-0000-000062050000}"/>
    <cellStyle name="Unprotect" xfId="1320" xr:uid="{00000000-0005-0000-0000-000063050000}"/>
    <cellStyle name="UP" xfId="1321" xr:uid="{00000000-0005-0000-0000-000064050000}"/>
    <cellStyle name="Update" xfId="1322" xr:uid="{00000000-0005-0000-0000-000065050000}"/>
    <cellStyle name="UploadThisRowValue" xfId="1323" xr:uid="{00000000-0005-0000-0000-000066050000}"/>
    <cellStyle name="ures" xfId="1324" xr:uid="{00000000-0005-0000-0000-000067050000}"/>
    <cellStyle name="_x0018_urrency_FY97COB1." xfId="1325" xr:uid="{00000000-0005-0000-0000-000068050000}"/>
    <cellStyle name="VALEO 2" xfId="1326" xr:uid="{00000000-0005-0000-0000-000069050000}"/>
    <cellStyle name="Valuta_40DM2" xfId="1327" xr:uid="{00000000-0005-0000-0000-00006A050000}"/>
    <cellStyle name="varnegative" xfId="1328" xr:uid="{00000000-0005-0000-0000-00006B050000}"/>
    <cellStyle name="varpositive" xfId="1329" xr:uid="{00000000-0005-0000-0000-00006C050000}"/>
    <cellStyle name="Vehicle_Benchmark" xfId="1330" xr:uid="{00000000-0005-0000-0000-00006D050000}"/>
    <cellStyle name="Version_Header" xfId="1331" xr:uid="{00000000-0005-0000-0000-00006E050000}"/>
    <cellStyle name="Virgule fixe" xfId="1332" xr:uid="{00000000-0005-0000-0000-00006F050000}"/>
    <cellStyle name="Volumes_Data" xfId="1333" xr:uid="{00000000-0005-0000-0000-000070050000}"/>
    <cellStyle name="Vpershare" xfId="1334" xr:uid="{00000000-0005-0000-0000-000071050000}"/>
    <cellStyle name="Vstandard" xfId="1335" xr:uid="{00000000-0005-0000-0000-000072050000}"/>
    <cellStyle name="Výpočet" xfId="1336" xr:uid="{00000000-0005-0000-0000-000073050000}"/>
    <cellStyle name="Vyrobok" xfId="1337" xr:uid="{00000000-0005-0000-0000-000074050000}"/>
    <cellStyle name="Výstup" xfId="1338" xr:uid="{00000000-0005-0000-0000-000075050000}"/>
    <cellStyle name="W_hrung [0]_modela~1_CAA J73 CP" xfId="1339" xr:uid="{00000000-0005-0000-0000-000076050000}"/>
    <cellStyle name="W_hrung_modela~1" xfId="1340" xr:uid="{00000000-0005-0000-0000-000077050000}"/>
    <cellStyle name="W_hrung_modela~1_CAA J73 CP" xfId="1341" xr:uid="{00000000-0005-0000-0000-000078050000}"/>
    <cellStyle name="Wahrung [0]_j54lmixd" xfId="1342" xr:uid="{00000000-0005-0000-0000-000079050000}"/>
    <cellStyle name="Währung 2" xfId="1343" xr:uid="{00000000-0005-0000-0000-00007A050000}"/>
    <cellStyle name="Währung_3- RFQ Check List" xfId="1344" xr:uid="{00000000-0005-0000-0000-00007B050000}"/>
    <cellStyle name="Wahrung_j54lmixd" xfId="1345" xr:uid="{00000000-0005-0000-0000-00007C050000}"/>
    <cellStyle name="Warning Text 2 3" xfId="1346" xr:uid="{00000000-0005-0000-0000-00007D050000}"/>
    <cellStyle name="wrap" xfId="1347" xr:uid="{00000000-0005-0000-0000-00007E050000}"/>
    <cellStyle name="X" xfId="1348" xr:uid="{00000000-0005-0000-0000-00007F050000}"/>
    <cellStyle name="Y" xfId="1349" xr:uid="{00000000-0005-0000-0000-000080050000}"/>
    <cellStyle name="Yellow" xfId="1350" xr:uid="{00000000-0005-0000-0000-000081050000}"/>
    <cellStyle name="Yen, 2 decimals" xfId="1351" xr:uid="{00000000-0005-0000-0000-000082050000}"/>
    <cellStyle name="Yen, no decimals" xfId="1352" xr:uid="{00000000-0005-0000-0000-000083050000}"/>
    <cellStyle name="yp" xfId="1353" xr:uid="{00000000-0005-0000-0000-000084050000}"/>
    <cellStyle name="yy/mm" xfId="1354" xr:uid="{00000000-0005-0000-0000-000085050000}"/>
    <cellStyle name="Záruka" xfId="1355" xr:uid="{00000000-0005-0000-0000-000086050000}"/>
    <cellStyle name="Zvýraznění 4" xfId="1356" xr:uid="{00000000-0005-0000-0000-000087050000}"/>
    <cellStyle name="アクセント 1" xfId="1357" xr:uid="{00000000-0005-0000-0000-000088050000}"/>
    <cellStyle name="アクセント 2" xfId="1358" xr:uid="{00000000-0005-0000-0000-000089050000}"/>
    <cellStyle name="アクセント 3" xfId="1359" xr:uid="{00000000-0005-0000-0000-00008A050000}"/>
    <cellStyle name="アクセント 6" xfId="1360" xr:uid="{00000000-0005-0000-0000-00008B050000}"/>
    <cellStyle name="ｹ鮗ﾐﾀｲ_ｰ豼ｵﾁ･" xfId="1361" xr:uid="{00000000-0005-0000-0000-00008C050000}"/>
    <cellStyle name="タイトル" xfId="1362" xr:uid="{00000000-0005-0000-0000-00008D050000}"/>
    <cellStyle name="チェック セル" xfId="1363" xr:uid="{00000000-0005-0000-0000-00008E050000}"/>
    <cellStyle name="テーブル 1" xfId="1364" xr:uid="{00000000-0005-0000-0000-00008F050000}"/>
    <cellStyle name="ﾄﾞｸｶ [0]_ｰ霾ｹ" xfId="1365" xr:uid="{00000000-0005-0000-0000-000090050000}"/>
    <cellStyle name="ﾄﾞｸｶ_ｰ霾ｹ" xfId="1366" xr:uid="{00000000-0005-0000-0000-000091050000}"/>
    <cellStyle name="どちらでもない" xfId="1367" xr:uid="{00000000-0005-0000-0000-000092050000}"/>
    <cellStyle name="ﾅ・ｭ [0]_ｰ霾ｹ" xfId="1368" xr:uid="{00000000-0005-0000-0000-000093050000}"/>
    <cellStyle name="ﾅ・ｭ_ｰ霾ｹ" xfId="1369" xr:uid="{00000000-0005-0000-0000-000094050000}"/>
    <cellStyle name="ﾇ･ﾁﾘ_ｰ霾ｹ" xfId="1370" xr:uid="{00000000-0005-0000-0000-000095050000}"/>
    <cellStyle name="ハイパーリンク??MSOBA" xfId="1371" xr:uid="{00000000-0005-0000-0000-000096050000}"/>
    <cellStyle name="ハイパーリンクTF Mix " xfId="1372" xr:uid="{00000000-0005-0000-0000-000097050000}"/>
    <cellStyle name="メモ" xfId="1373" xr:uid="{00000000-0005-0000-0000-000098050000}"/>
    <cellStyle name="リンク セル" xfId="1374" xr:uid="{00000000-0005-0000-0000-000099050000}"/>
    <cellStyle name="เครื่องหมายสกุลเงิน_C-10_Test_Dev_NRE_Summary_Feb 9_Rev1" xfId="1375" xr:uid="{00000000-0005-0000-0000-00009A050000}"/>
    <cellStyle name="ณfน๔_NTCณ๘ป๙ (2)" xfId="1376" xr:uid="{00000000-0005-0000-0000-00009B050000}"/>
    <cellStyle name="ကကᔀᰀ" xfId="1377" xr:uid="{00000000-0005-0000-0000-00009C050000}"/>
    <cellStyle name="??" xfId="1378" xr:uid="{00000000-0005-0000-0000-00009D050000}"/>
    <cellStyle name="_Sheet1" xfId="1379" xr:uid="{00000000-0005-0000-0000-00009E050000}"/>
    <cellStyle name="??" xfId="1380" xr:uid="{00000000-0005-0000-0000-00009F050000}"/>
    <cellStyle name="_sofia3_planar BOM-1" xfId="1381" xr:uid="{00000000-0005-0000-0000-0000A0050000}"/>
    <cellStyle name="煦弇[0]_MPS" xfId="1382" xr:uid="{00000000-0005-0000-0000-0000A1050000}"/>
    <cellStyle name="煦弇_MPS 6 8" xfId="1383" xr:uid="{00000000-0005-0000-0000-0000A2050000}"/>
    <cellStyle name="弇煦路[0]_SMT manpower allocation" xfId="1384" xr:uid="{00000000-0005-0000-0000-0000A3050000}"/>
    <cellStyle name=" 坪 l_Sheet1_Q4 (2)" xfId="1385" xr:uid="{00000000-0005-0000-0000-0000A4050000}"/>
    <cellStyle name="白色" xfId="1386" xr:uid="{00000000-0005-0000-0000-0000A5050000}"/>
    <cellStyle name="百分比 2 11" xfId="1387" xr:uid="{00000000-0005-0000-0000-0000A6050000}"/>
    <cellStyle name="百分比 2 2 2 3" xfId="1388" xr:uid="{00000000-0005-0000-0000-0000A7050000}"/>
    <cellStyle name="百分比 2 3 2" xfId="1389" xr:uid="{00000000-0005-0000-0000-0000A8050000}"/>
    <cellStyle name="百分比 3 5 2" xfId="1390" xr:uid="{00000000-0005-0000-0000-0000A9050000}"/>
    <cellStyle name="半角" xfId="1391" xr:uid="{00000000-0005-0000-0000-0000AA050000}"/>
    <cellStyle name="備註 14" xfId="1392" xr:uid="{00000000-0005-0000-0000-0000AB050000}"/>
    <cellStyle name="備註 2" xfId="1393" xr:uid="{00000000-0005-0000-0000-0000AC050000}"/>
    <cellStyle name="備註 2 2 5 2" xfId="1394" xr:uid="{00000000-0005-0000-0000-0000AD050000}"/>
    <cellStyle name="備註 3 2 4 2" xfId="1395" xr:uid="{00000000-0005-0000-0000-0000AE050000}"/>
    <cellStyle name="備註 3 5" xfId="1396" xr:uid="{00000000-0005-0000-0000-0000AF050000}"/>
    <cellStyle name="閉蟈諉" xfId="1397" xr:uid="{00000000-0005-0000-0000-0000B0050000}"/>
    <cellStyle name="閉窣磐" xfId="1398" xr:uid="{00000000-0005-0000-0000-0000B1050000}"/>
    <cellStyle name="标题 1 1" xfId="1399" xr:uid="{00000000-0005-0000-0000-0000B2050000}"/>
    <cellStyle name="标题 1 11" xfId="1400" xr:uid="{00000000-0005-0000-0000-0000B3050000}"/>
    <cellStyle name="标题 1 18" xfId="1401" xr:uid="{00000000-0005-0000-0000-0000B4050000}"/>
    <cellStyle name="标题 1 2 2 4" xfId="1402" xr:uid="{00000000-0005-0000-0000-0000B5050000}"/>
    <cellStyle name="标题 10" xfId="1403" xr:uid="{00000000-0005-0000-0000-0000B6050000}"/>
    <cellStyle name="标题 10 4" xfId="1404" xr:uid="{00000000-0005-0000-0000-0000B7050000}"/>
    <cellStyle name="标题 11 4" xfId="1405" xr:uid="{00000000-0005-0000-0000-0000B8050000}"/>
    <cellStyle name="标题 2 11" xfId="1406" xr:uid="{00000000-0005-0000-0000-0000B9050000}"/>
    <cellStyle name="标题 2 18" xfId="1407" xr:uid="{00000000-0005-0000-0000-0000BA050000}"/>
    <cellStyle name="标题 2 2 2 4" xfId="1408" xr:uid="{00000000-0005-0000-0000-0000BB050000}"/>
    <cellStyle name="标题 2 4 4" xfId="1409" xr:uid="{00000000-0005-0000-0000-0000BC050000}"/>
    <cellStyle name="标题 3 10" xfId="1410" xr:uid="{00000000-0005-0000-0000-0000BD050000}"/>
    <cellStyle name="标题 3 11" xfId="1411" xr:uid="{00000000-0005-0000-0000-0000BE050000}"/>
    <cellStyle name="标题 3 18" xfId="1412" xr:uid="{00000000-0005-0000-0000-0000BF050000}"/>
    <cellStyle name="标题 3 2 2 4" xfId="1413" xr:uid="{00000000-0005-0000-0000-0000C0050000}"/>
    <cellStyle name="标题 3 4 4" xfId="1414" xr:uid="{00000000-0005-0000-0000-0000C1050000}"/>
    <cellStyle name="标题 4 10" xfId="1415" xr:uid="{00000000-0005-0000-0000-0000C2050000}"/>
    <cellStyle name="标题 4 18" xfId="1416" xr:uid="{00000000-0005-0000-0000-0000C3050000}"/>
    <cellStyle name="标题 4 2 2 4" xfId="1417" xr:uid="{00000000-0005-0000-0000-0000C4050000}"/>
    <cellStyle name="标题 4 4 4" xfId="1418" xr:uid="{00000000-0005-0000-0000-0000C5050000}"/>
    <cellStyle name="标题 5 2 2 3" xfId="1419" xr:uid="{00000000-0005-0000-0000-0000C6050000}"/>
    <cellStyle name="標題" xfId="1420" xr:uid="{00000000-0005-0000-0000-0000C7050000}"/>
    <cellStyle name="標題 1" xfId="1421" xr:uid="{00000000-0005-0000-0000-0000C8050000}"/>
    <cellStyle name="標題 1 31" xfId="1422" xr:uid="{00000000-0005-0000-0000-0000C9050000}"/>
    <cellStyle name="標題 18" xfId="1423" xr:uid="{00000000-0005-0000-0000-0000CA050000}"/>
    <cellStyle name="標題 2" xfId="1424" xr:uid="{00000000-0005-0000-0000-0000CB050000}"/>
    <cellStyle name="標題 2 13" xfId="1425" xr:uid="{00000000-0005-0000-0000-0000CC050000}"/>
    <cellStyle name="標題 2 32" xfId="1426" xr:uid="{00000000-0005-0000-0000-0000CD050000}"/>
    <cellStyle name="標題 3" xfId="1427" xr:uid="{00000000-0005-0000-0000-0000CE050000}"/>
    <cellStyle name="標題 3 13" xfId="1428" xr:uid="{00000000-0005-0000-0000-0000CF050000}"/>
    <cellStyle name="標題 3 14" xfId="1429" xr:uid="{00000000-0005-0000-0000-0000D0050000}"/>
    <cellStyle name="標題 4" xfId="1430" xr:uid="{00000000-0005-0000-0000-0000D1050000}"/>
    <cellStyle name="標題 4 14" xfId="1431" xr:uid="{00000000-0005-0000-0000-0000D2050000}"/>
    <cellStyle name="標題 5 3 5" xfId="1432" xr:uid="{00000000-0005-0000-0000-0000D3050000}"/>
    <cellStyle name="標準\" xfId="1433" xr:uid="{00000000-0005-0000-0000-0000D4050000}"/>
    <cellStyle name="標準1" xfId="1434" xr:uid="{00000000-0005-0000-0000-0000D5050000}"/>
    <cellStyle name="標準KM00" xfId="1435" xr:uid="{00000000-0005-0000-0000-0000D6050000}"/>
    <cellStyle name="標準KM01" xfId="1436" xr:uid="{00000000-0005-0000-0000-0000D7050000}"/>
    <cellStyle name="標準明朝" xfId="1437" xr:uid="{00000000-0005-0000-0000-0000D8050000}"/>
    <cellStyle name="表示済みのハイパーリンクBALLOON" xfId="1438" xr:uid="{00000000-0005-0000-0000-0000D9050000}"/>
    <cellStyle name="表示済みのハイパーリンクx Projection" xfId="1439" xr:uid="{00000000-0005-0000-0000-0000DA050000}"/>
    <cellStyle name="고정소숫점" xfId="1440" xr:uid="{00000000-0005-0000-0000-0000DB050000}"/>
    <cellStyle name="고정출력1" xfId="1441" xr:uid="{00000000-0005-0000-0000-0000DC050000}"/>
    <cellStyle name="고정출력2" xfId="1442" xr:uid="{00000000-0005-0000-0000-0000DD050000}"/>
    <cellStyle name="差 11" xfId="1443" xr:uid="{00000000-0005-0000-0000-0000DE050000}"/>
    <cellStyle name="差 18" xfId="1444" xr:uid="{00000000-0005-0000-0000-0000DF050000}"/>
    <cellStyle name="差 2 2 4" xfId="1445" xr:uid="{00000000-0005-0000-0000-0000E0050000}"/>
    <cellStyle name="差 3 4" xfId="1446" xr:uid="{00000000-0005-0000-0000-0000E1050000}"/>
    <cellStyle name="差_4551-012880-10 X540_ORCAD 2" xfId="1447" xr:uid="{00000000-0005-0000-0000-0000E2050000}"/>
    <cellStyle name="差_4551-012880-10 X540_Sheet1 2" xfId="1448" xr:uid="{00000000-0005-0000-0000-0000E3050000}"/>
    <cellStyle name="差_540 to 350_ECSL_Front LED board_ORCAD 2" xfId="1449" xr:uid="{00000000-0005-0000-0000-0000E4050000}"/>
    <cellStyle name="差_540 to 350_ECSL_ORCAD 2" xfId="1450" xr:uid="{00000000-0005-0000-0000-0000E5050000}"/>
    <cellStyle name="差_Black Plane (BPB) 2 2" xfId="1451" xr:uid="{00000000-0005-0000-0000-0000E6050000}"/>
    <cellStyle name="差_KS包材 2 2 2" xfId="1452" xr:uid="{00000000-0005-0000-0000-0000E7050000}"/>
    <cellStyle name="差_PHY-2_V02_LAN 2" xfId="1453" xr:uid="{00000000-0005-0000-0000-0000E8050000}"/>
    <cellStyle name="差_Sheet1 6" xfId="1454" xr:uid="{00000000-0005-0000-0000-0000E9050000}"/>
    <cellStyle name="差_WK09" xfId="1455" xr:uid="{00000000-0005-0000-0000-0000EA050000}"/>
    <cellStyle name="常规" xfId="0" builtinId="0"/>
    <cellStyle name="常规 11 4" xfId="1456" xr:uid="{00000000-0005-0000-0000-0000EB050000}"/>
    <cellStyle name="常规 139" xfId="1457" xr:uid="{00000000-0005-0000-0000-0000EC050000}"/>
    <cellStyle name="常规 17 7" xfId="1458" xr:uid="{00000000-0005-0000-0000-0000ED050000}"/>
    <cellStyle name="常规 2" xfId="1749" xr:uid="{00000000-0005-0000-0000-000011070000}"/>
    <cellStyle name="常规 2 2 2 3 2" xfId="1459" xr:uid="{00000000-0005-0000-0000-0000EE050000}"/>
    <cellStyle name="常规 23" xfId="1460" xr:uid="{00000000-0005-0000-0000-0000EF050000}"/>
    <cellStyle name="常规 3 11" xfId="1461" xr:uid="{00000000-0005-0000-0000-0000F0050000}"/>
    <cellStyle name="常规 35" xfId="1462" xr:uid="{00000000-0005-0000-0000-0000F1050000}"/>
    <cellStyle name="常规 4 3 2 2" xfId="1463" xr:uid="{00000000-0005-0000-0000-0000F2050000}"/>
    <cellStyle name="常规 4 3 2 4" xfId="1464" xr:uid="{00000000-0005-0000-0000-0000F3050000}"/>
    <cellStyle name="常规 48" xfId="1465" xr:uid="{00000000-0005-0000-0000-0000F4050000}"/>
    <cellStyle name="常规 55" xfId="1466" xr:uid="{00000000-0005-0000-0000-0000F5050000}"/>
    <cellStyle name="超連結" xfId="1467" xr:uid="{00000000-0005-0000-0000-0000F6050000}"/>
    <cellStyle name="超連結 2" xfId="1468" xr:uid="{00000000-0005-0000-0000-0000F7050000}"/>
    <cellStyle name="超連結 2 2 3" xfId="1469" xr:uid="{00000000-0005-0000-0000-0000F8050000}"/>
    <cellStyle name="超連結 2 3 2" xfId="1470" xr:uid="{00000000-0005-0000-0000-0000F9050000}"/>
    <cellStyle name="超連結 4" xfId="1471" xr:uid="{00000000-0005-0000-0000-0000FA050000}"/>
    <cellStyle name="超連結_Xl0000000" xfId="1472" xr:uid="{00000000-0005-0000-0000-0000FB050000}"/>
    <cellStyle name="超链接 2 2 2" xfId="1473" xr:uid="{00000000-0005-0000-0000-0000FC050000}"/>
    <cellStyle name="超链接 2 2 2 2" xfId="1474" xr:uid="{00000000-0005-0000-0000-0000FD050000}"/>
    <cellStyle name="超链接 3 2 2 2" xfId="1475" xr:uid="{00000000-0005-0000-0000-0000FE050000}"/>
    <cellStyle name="彻" xfId="1476" xr:uid="{00000000-0005-0000-0000-0000FF050000}"/>
    <cellStyle name="出力" xfId="1477" xr:uid="{00000000-0005-0000-0000-000000060000}"/>
    <cellStyle name="都寞_2wire MPS 0629" xfId="1478" xr:uid="{00000000-0005-0000-0000-000001060000}"/>
    <cellStyle name="芏" xfId="1479" xr:uid="{00000000-0005-0000-0000-000002060000}"/>
    <cellStyle name="綐其桛" xfId="1480" xr:uid="{00000000-0005-0000-0000-000003060000}"/>
    <cellStyle name="悪い" xfId="1481" xr:uid="{00000000-0005-0000-0000-000004060000}"/>
    <cellStyle name="輔色1 12" xfId="1482" xr:uid="{00000000-0005-0000-0000-000005060000}"/>
    <cellStyle name="輔色1 13 2" xfId="1483" xr:uid="{00000000-0005-0000-0000-000006060000}"/>
    <cellStyle name="輔色1 14" xfId="1484" xr:uid="{00000000-0005-0000-0000-000007060000}"/>
    <cellStyle name="輔色1 2" xfId="1485" xr:uid="{00000000-0005-0000-0000-000008060000}"/>
    <cellStyle name="輔色1 3 2 4" xfId="1486" xr:uid="{00000000-0005-0000-0000-000009060000}"/>
    <cellStyle name="輔色1 3 6" xfId="1487" xr:uid="{00000000-0005-0000-0000-00000A060000}"/>
    <cellStyle name="輔色2 13 2" xfId="1488" xr:uid="{00000000-0005-0000-0000-00000B060000}"/>
    <cellStyle name="輔色2 14" xfId="1489" xr:uid="{00000000-0005-0000-0000-00000C060000}"/>
    <cellStyle name="輔色2 2" xfId="1490" xr:uid="{00000000-0005-0000-0000-00000D060000}"/>
    <cellStyle name="輔色2 3 2 4" xfId="1491" xr:uid="{00000000-0005-0000-0000-00000E060000}"/>
    <cellStyle name="輔色2 3 6" xfId="1492" xr:uid="{00000000-0005-0000-0000-00000F060000}"/>
    <cellStyle name="輔色3" xfId="1493" xr:uid="{00000000-0005-0000-0000-000010060000}"/>
    <cellStyle name="輔色3 13 2" xfId="1494" xr:uid="{00000000-0005-0000-0000-000011060000}"/>
    <cellStyle name="輔色3 14" xfId="1495" xr:uid="{00000000-0005-0000-0000-000012060000}"/>
    <cellStyle name="輔色3 2" xfId="1496" xr:uid="{00000000-0005-0000-0000-000013060000}"/>
    <cellStyle name="輔色3 3 2 4" xfId="1497" xr:uid="{00000000-0005-0000-0000-000014060000}"/>
    <cellStyle name="輔色3 3 6" xfId="1498" xr:uid="{00000000-0005-0000-0000-000015060000}"/>
    <cellStyle name="輔色4" xfId="1499" xr:uid="{00000000-0005-0000-0000-000016060000}"/>
    <cellStyle name="輔色4 13 2" xfId="1500" xr:uid="{00000000-0005-0000-0000-000017060000}"/>
    <cellStyle name="輔色4 14" xfId="1501" xr:uid="{00000000-0005-0000-0000-000018060000}"/>
    <cellStyle name="輔色5 13 2" xfId="1502" xr:uid="{00000000-0005-0000-0000-000019060000}"/>
    <cellStyle name="輔色5 14" xfId="1503" xr:uid="{00000000-0005-0000-0000-00001A060000}"/>
    <cellStyle name="輔色6 13 2" xfId="1504" xr:uid="{00000000-0005-0000-0000-00001B060000}"/>
    <cellStyle name="輔色6 14" xfId="1505" xr:uid="{00000000-0005-0000-0000-00001C060000}"/>
    <cellStyle name="輔色6 2" xfId="1506" xr:uid="{00000000-0005-0000-0000-00001D060000}"/>
    <cellStyle name="輔色6 3 2 4" xfId="1507" xr:uid="{00000000-0005-0000-0000-00001E060000}"/>
    <cellStyle name="輔色6 3 6" xfId="1508" xr:uid="{00000000-0005-0000-0000-00001F060000}"/>
    <cellStyle name="날짜" xfId="1509" xr:uid="{00000000-0005-0000-0000-000020060000}"/>
    <cellStyle name="好 10 4" xfId="1510" xr:uid="{00000000-0005-0000-0000-000021060000}"/>
    <cellStyle name="好 18" xfId="1511" xr:uid="{00000000-0005-0000-0000-000022060000}"/>
    <cellStyle name="好_0812_ORCAD 2" xfId="1512" xr:uid="{00000000-0005-0000-0000-000023060000}"/>
    <cellStyle name="好_0812_Sheet1 2" xfId="1513" xr:uid="{00000000-0005-0000-0000-000024060000}"/>
    <cellStyle name="好_0843-017460-00A2 2" xfId="1514" xr:uid="{00000000-0005-0000-0000-000025060000}"/>
    <cellStyle name="好_1170 3120_ORCAD 2" xfId="1515" xr:uid="{00000000-0005-0000-0000-000026060000}"/>
    <cellStyle name="好_1170 3120_Sheet1 2" xfId="1516" xr:uid="{00000000-0005-0000-0000-000027060000}"/>
    <cellStyle name="好_42 metal quotation-20071011-1" xfId="1517" xr:uid="{00000000-0005-0000-0000-000028060000}"/>
    <cellStyle name="好_All BOM_ECSL_Front LED board_ORCAD 2" xfId="1518" xr:uid="{00000000-0005-0000-0000-000029060000}"/>
    <cellStyle name="好_All BOM_ECSL_ORCAD 2" xfId="1519" xr:uid="{00000000-0005-0000-0000-00002A060000}"/>
    <cellStyle name="好_AML" xfId="1520" xr:uid="{00000000-0005-0000-0000-00002B060000}"/>
    <cellStyle name="好_ASD2 S20100001 IBM iBBU08 3" xfId="1521" xr:uid="{00000000-0005-0000-0000-00002C060000}"/>
    <cellStyle name="好_Black Plane (BPB) 2 2" xfId="1522" xr:uid="{00000000-0005-0000-0000-00002D060000}"/>
    <cellStyle name="好_BOM_1_AML" xfId="1523" xr:uid="{00000000-0005-0000-0000-00002E060000}"/>
    <cellStyle name="好_BOM_1_Sheet1_2" xfId="1524" xr:uid="{00000000-0005-0000-0000-00002F060000}"/>
    <cellStyle name="好_Control PCBA" xfId="1525" xr:uid="{00000000-0005-0000-0000-000030060000}"/>
    <cellStyle name="好_default BOM 6G_ORCAD 2" xfId="1526" xr:uid="{00000000-0005-0000-0000-000031060000}"/>
    <cellStyle name="好_default BOM 6G_Sheet1 2" xfId="1527" xr:uid="{00000000-0005-0000-0000-000032060000}"/>
    <cellStyle name="好_DES_2122_P_SamplePlan_1215" xfId="1528" xr:uid="{00000000-0005-0000-0000-000033060000}"/>
    <cellStyle name="好_Format 2" xfId="1529" xr:uid="{00000000-0005-0000-0000-000034060000}"/>
    <cellStyle name="好_ICT-KS 2 2 2" xfId="1530" xr:uid="{00000000-0005-0000-0000-000035060000}"/>
    <cellStyle name="好_K E series RFQ ME QUOTATION-0514" xfId="1531" xr:uid="{00000000-0005-0000-0000-000036060000}"/>
    <cellStyle name="好_KS包材 2 2 2" xfId="1532" xr:uid="{00000000-0005-0000-0000-000037060000}"/>
    <cellStyle name="好_Rel-NRE" xfId="1533" xr:uid="{00000000-0005-0000-0000-000038060000}"/>
    <cellStyle name="好_Sheet1 11" xfId="1534" xr:uid="{00000000-0005-0000-0000-000039060000}"/>
    <cellStyle name="好_Sheet1 2 2 2" xfId="1535" xr:uid="{00000000-0005-0000-0000-00003A060000}"/>
    <cellStyle name="好_Sheet2_1 2 2" xfId="1536" xr:uid="{00000000-0005-0000-0000-00003B060000}"/>
    <cellStyle name="好_SMC product list(0430)_ORCAD 2" xfId="1537" xr:uid="{00000000-0005-0000-0000-00003C060000}"/>
    <cellStyle name="好_SMC product list(0430)_Sheet1 2" xfId="1538" xr:uid="{00000000-0005-0000-0000-00003D060000}"/>
    <cellStyle name="好_SMT and PCBA related data" xfId="1539" xr:uid="{00000000-0005-0000-0000-00003E060000}"/>
    <cellStyle name="好_WK09" xfId="1540" xr:uid="{00000000-0005-0000-0000-00003F060000}"/>
    <cellStyle name="合計" xfId="1541" xr:uid="{00000000-0005-0000-0000-000040060000}"/>
    <cellStyle name="合計 13 2" xfId="1542" xr:uid="{00000000-0005-0000-0000-000041060000}"/>
    <cellStyle name="合計 2" xfId="1543" xr:uid="{00000000-0005-0000-0000-000042060000}"/>
    <cellStyle name="桁区切り [0.0]" xfId="1544" xr:uid="{00000000-0005-0000-0000-000043060000}"/>
    <cellStyle name="桁区切り [0.00]_AMF Titanium Commodity Graphs" xfId="1545" xr:uid="{00000000-0005-0000-0000-000044060000}"/>
    <cellStyle name="桁区切り_AMF Titanium Commodity Graphs" xfId="1546" xr:uid="{00000000-0005-0000-0000-000045060000}"/>
    <cellStyle name="壞 14" xfId="1547" xr:uid="{00000000-0005-0000-0000-000046060000}"/>
    <cellStyle name="壞 2" xfId="1548" xr:uid="{00000000-0005-0000-0000-000047060000}"/>
    <cellStyle name="壞_0812_ORCAD 2" xfId="1549" xr:uid="{00000000-0005-0000-0000-000048060000}"/>
    <cellStyle name="壞_0812_Sheet1 2" xfId="1550" xr:uid="{00000000-0005-0000-0000-000049060000}"/>
    <cellStyle name="壞_1170 3120_ORCAD 2" xfId="1551" xr:uid="{00000000-0005-0000-0000-00004A060000}"/>
    <cellStyle name="壞_1170 3120_Sheet1 2" xfId="1552" xr:uid="{00000000-0005-0000-0000-00004B060000}"/>
    <cellStyle name="壞_42 metal quotation-20071011-1" xfId="1553" xr:uid="{00000000-0005-0000-0000-00004C060000}"/>
    <cellStyle name="壞_AML" xfId="1554" xr:uid="{00000000-0005-0000-0000-00004D060000}"/>
    <cellStyle name="壞_BOM_1_AML" xfId="1555" xr:uid="{00000000-0005-0000-0000-00004E060000}"/>
    <cellStyle name="壞_Control PCBA" xfId="1556" xr:uid="{00000000-0005-0000-0000-00004F060000}"/>
    <cellStyle name="壞_DES_2122_P_SamplePlan_1215" xfId="1557" xr:uid="{00000000-0005-0000-0000-000050060000}"/>
    <cellStyle name="壞_DES-2122-P_ActionTracking(wk38)_0914" xfId="1558" xr:uid="{00000000-0005-0000-0000-000051060000}"/>
    <cellStyle name="壞_EMC_1" xfId="1559" xr:uid="{00000000-0005-0000-0000-000052060000}"/>
    <cellStyle name="壞_Format 2" xfId="1560" xr:uid="{00000000-0005-0000-0000-000053060000}"/>
    <cellStyle name="壞_PHY-2_V02_LAN 2" xfId="1561" xr:uid="{00000000-0005-0000-0000-000054060000}"/>
    <cellStyle name="壞_Rel-NRE" xfId="1562" xr:uid="{00000000-0005-0000-0000-000055060000}"/>
    <cellStyle name="壞_Sheet1 2 3" xfId="1563" xr:uid="{00000000-0005-0000-0000-000056060000}"/>
    <cellStyle name="壞_Sheet2 2 3" xfId="1564" xr:uid="{00000000-0005-0000-0000-000057060000}"/>
    <cellStyle name="壞_SMC product list(0430)_ORCAD 2" xfId="1565" xr:uid="{00000000-0005-0000-0000-000058060000}"/>
    <cellStyle name="壞_SMC product list(0430)_Sheet1 2" xfId="1566" xr:uid="{00000000-0005-0000-0000-000059060000}"/>
    <cellStyle name="汇总 10" xfId="1567" xr:uid="{00000000-0005-0000-0000-00005A060000}"/>
    <cellStyle name="汇总 18 2" xfId="1568" xr:uid="{00000000-0005-0000-0000-00005B060000}"/>
    <cellStyle name="汇总 2 2 4" xfId="1569" xr:uid="{00000000-0005-0000-0000-00005C060000}"/>
    <cellStyle name="汇总 4 4" xfId="1570" xr:uid="{00000000-0005-0000-0000-00005D060000}"/>
    <cellStyle name="货币 2 3 2" xfId="1571" xr:uid="{00000000-0005-0000-0000-00005E060000}"/>
    <cellStyle name="货币 4 2" xfId="1572" xr:uid="{00000000-0005-0000-0000-00005F060000}"/>
    <cellStyle name="货币 4 3 2" xfId="1573" xr:uid="{00000000-0005-0000-0000-000060060000}"/>
    <cellStyle name="货币 5" xfId="1574" xr:uid="{00000000-0005-0000-0000-000061060000}"/>
    <cellStyle name="貨幣 [0] 2" xfId="1575" xr:uid="{00000000-0005-0000-0000-000062060000}"/>
    <cellStyle name="貨幣 2 2 18 2" xfId="1576" xr:uid="{00000000-0005-0000-0000-000063060000}"/>
    <cellStyle name="貨幣 2 2 2" xfId="1577" xr:uid="{00000000-0005-0000-0000-000064060000}"/>
    <cellStyle name="貨幣 2 2 3" xfId="1578" xr:uid="{00000000-0005-0000-0000-000065060000}"/>
    <cellStyle name="貨幣 3 3 2" xfId="1579" xr:uid="{00000000-0005-0000-0000-000066060000}"/>
    <cellStyle name="貨幣 5 3" xfId="1580" xr:uid="{00000000-0005-0000-0000-000067060000}"/>
    <cellStyle name="集計" xfId="1581" xr:uid="{00000000-0005-0000-0000-000068060000}"/>
    <cellStyle name="计算 10" xfId="1582" xr:uid="{00000000-0005-0000-0000-000069060000}"/>
    <cellStyle name="计算 11" xfId="1583" xr:uid="{00000000-0005-0000-0000-00006A060000}"/>
    <cellStyle name="计算 18 2" xfId="1584" xr:uid="{00000000-0005-0000-0000-00006B060000}"/>
    <cellStyle name="计算 2 2 4" xfId="1585" xr:uid="{00000000-0005-0000-0000-00006C060000}"/>
    <cellStyle name="计算 3 4" xfId="1586" xr:uid="{00000000-0005-0000-0000-00006D060000}"/>
    <cellStyle name="计算 4 4" xfId="1587" xr:uid="{00000000-0005-0000-0000-00006E060000}"/>
    <cellStyle name="計算 2" xfId="1588" xr:uid="{00000000-0005-0000-0000-00006F060000}"/>
    <cellStyle name="計算方式" xfId="1589" xr:uid="{00000000-0005-0000-0000-000070060000}"/>
    <cellStyle name="計算方式 2" xfId="1590" xr:uid="{00000000-0005-0000-0000-000071060000}"/>
    <cellStyle name="检查单元格 10" xfId="1591" xr:uid="{00000000-0005-0000-0000-000072060000}"/>
    <cellStyle name="检查单元格 11" xfId="1592" xr:uid="{00000000-0005-0000-0000-000073060000}"/>
    <cellStyle name="检查单元格 18" xfId="1593" xr:uid="{00000000-0005-0000-0000-000074060000}"/>
    <cellStyle name="检查单元格 2 2 4" xfId="1594" xr:uid="{00000000-0005-0000-0000-000075060000}"/>
    <cellStyle name="检查单元格 3 4" xfId="1595" xr:uid="{00000000-0005-0000-0000-000076060000}"/>
    <cellStyle name="检查单元格 4 4" xfId="1596" xr:uid="{00000000-0005-0000-0000-000077060000}"/>
    <cellStyle name="檢查儲存格" xfId="1597" xr:uid="{00000000-0005-0000-0000-000078060000}"/>
    <cellStyle name="檢查儲存格 14" xfId="1598" xr:uid="{00000000-0005-0000-0000-000079060000}"/>
    <cellStyle name="檢查儲存格 2" xfId="1599" xr:uid="{00000000-0005-0000-0000-00007A060000}"/>
    <cellStyle name="檢查儲存格 3 2 4" xfId="1600" xr:uid="{00000000-0005-0000-0000-00007B060000}"/>
    <cellStyle name="見出し 1" xfId="1601" xr:uid="{00000000-0005-0000-0000-00007C060000}"/>
    <cellStyle name="見出し 2" xfId="1602" xr:uid="{00000000-0005-0000-0000-00007D060000}"/>
    <cellStyle name="見出し 3" xfId="1603" xr:uid="{00000000-0005-0000-0000-00007E060000}"/>
    <cellStyle name="見出し 4" xfId="1604" xr:uid="{00000000-0005-0000-0000-00007F060000}"/>
    <cellStyle name="見出し 5" xfId="1605" xr:uid="{00000000-0005-0000-0000-000080060000}"/>
    <cellStyle name="解释性文本 10" xfId="1606" xr:uid="{00000000-0005-0000-0000-000081060000}"/>
    <cellStyle name="解释性文本 11" xfId="1607" xr:uid="{00000000-0005-0000-0000-000082060000}"/>
    <cellStyle name="解释性文本 18" xfId="1608" xr:uid="{00000000-0005-0000-0000-000083060000}"/>
    <cellStyle name="解释性文本 2 2 4" xfId="1609" xr:uid="{00000000-0005-0000-0000-000084060000}"/>
    <cellStyle name="解释性文本 3 4" xfId="1610" xr:uid="{00000000-0005-0000-0000-000085060000}"/>
    <cellStyle name="警告文" xfId="1611" xr:uid="{00000000-0005-0000-0000-000086060000}"/>
    <cellStyle name="警告文本 10" xfId="1612" xr:uid="{00000000-0005-0000-0000-000087060000}"/>
    <cellStyle name="警告文本 11" xfId="1613" xr:uid="{00000000-0005-0000-0000-000088060000}"/>
    <cellStyle name="警告文本 18" xfId="1614" xr:uid="{00000000-0005-0000-0000-000089060000}"/>
    <cellStyle name="警告文本 2 2 4" xfId="1615" xr:uid="{00000000-0005-0000-0000-00008A060000}"/>
    <cellStyle name="警告文本 3 4" xfId="1616" xr:uid="{00000000-0005-0000-0000-00008B060000}"/>
    <cellStyle name="警告文字" xfId="1617" xr:uid="{00000000-0005-0000-0000-00008C060000}"/>
    <cellStyle name="警告文字 14" xfId="1618" xr:uid="{00000000-0005-0000-0000-00008D060000}"/>
    <cellStyle name="警告文字 2" xfId="1619" xr:uid="{00000000-0005-0000-0000-00008E060000}"/>
    <cellStyle name="冏" xfId="1620" xr:uid="{00000000-0005-0000-0000-00008F060000}"/>
    <cellStyle name="連結的儲存格 13 2" xfId="1621" xr:uid="{00000000-0005-0000-0000-000090060000}"/>
    <cellStyle name="連結的儲存格 14" xfId="1622" xr:uid="{00000000-0005-0000-0000-000091060000}"/>
    <cellStyle name="連結的儲存格 2" xfId="1623" xr:uid="{00000000-0005-0000-0000-000092060000}"/>
    <cellStyle name="链接单元格 10" xfId="1624" xr:uid="{00000000-0005-0000-0000-000093060000}"/>
    <cellStyle name="链接单元格 18" xfId="1625" xr:uid="{00000000-0005-0000-0000-000094060000}"/>
    <cellStyle name="链接单元格 2 2 4" xfId="1626" xr:uid="{00000000-0005-0000-0000-000095060000}"/>
    <cellStyle name="良い" xfId="1627" xr:uid="{00000000-0005-0000-0000-000096060000}"/>
    <cellStyle name="뒤에 오는 하이퍼링크" xfId="1628" xr:uid="{00000000-0005-0000-0000-000097060000}"/>
    <cellStyle name="千分位 10" xfId="1629" xr:uid="{00000000-0005-0000-0000-000098060000}"/>
    <cellStyle name="千分位 4 3" xfId="1630" xr:uid="{00000000-0005-0000-0000-000099060000}"/>
    <cellStyle name="千分位 5 3" xfId="1631" xr:uid="{00000000-0005-0000-0000-00009A060000}"/>
    <cellStyle name="千分位 7 2" xfId="1632" xr:uid="{00000000-0005-0000-0000-00009B060000}"/>
    <cellStyle name="千分位[0] 2" xfId="1633" xr:uid="{00000000-0005-0000-0000-00009C060000}"/>
    <cellStyle name="千位[0]_laroux" xfId="1634" xr:uid="{00000000-0005-0000-0000-00009D060000}"/>
    <cellStyle name="千位分隔 2" xfId="1635" xr:uid="{00000000-0005-0000-0000-00009E060000}"/>
    <cellStyle name="千位分隔 5" xfId="1636" xr:uid="{00000000-0005-0000-0000-00009F060000}"/>
    <cellStyle name="千位分隔 55" xfId="1637" xr:uid="{00000000-0005-0000-0000-0000A0060000}"/>
    <cellStyle name="強調1" xfId="1638" xr:uid="{00000000-0005-0000-0000-0000A1060000}"/>
    <cellStyle name="強調2" xfId="1639" xr:uid="{00000000-0005-0000-0000-0000A2060000}"/>
    <cellStyle name="強調3" xfId="1640" xr:uid="{00000000-0005-0000-0000-0000A3060000}"/>
    <cellStyle name="强调文字颜色 1 10" xfId="1641" xr:uid="{00000000-0005-0000-0000-0000A4060000}"/>
    <cellStyle name="强调文字颜色 1 18" xfId="1642" xr:uid="{00000000-0005-0000-0000-0000A5060000}"/>
    <cellStyle name="强调文字颜色 1 2 2 4" xfId="1643" xr:uid="{00000000-0005-0000-0000-0000A6060000}"/>
    <cellStyle name="强调文字颜色 2 10" xfId="1644" xr:uid="{00000000-0005-0000-0000-0000A7060000}"/>
    <cellStyle name="强调文字颜色 2 18" xfId="1645" xr:uid="{00000000-0005-0000-0000-0000A8060000}"/>
    <cellStyle name="强调文字颜色 2 2 2 4" xfId="1646" xr:uid="{00000000-0005-0000-0000-0000A9060000}"/>
    <cellStyle name="强调文字颜色 2 4 4" xfId="1647" xr:uid="{00000000-0005-0000-0000-0000AA060000}"/>
    <cellStyle name="强调文字颜色 3 10" xfId="1648" xr:uid="{00000000-0005-0000-0000-0000AB060000}"/>
    <cellStyle name="强调文字颜色 3 18" xfId="1649" xr:uid="{00000000-0005-0000-0000-0000AC060000}"/>
    <cellStyle name="强调文字颜色 3 2 2 4" xfId="1650" xr:uid="{00000000-0005-0000-0000-0000AD060000}"/>
    <cellStyle name="强调文字颜色 3 4 4" xfId="1651" xr:uid="{00000000-0005-0000-0000-0000AE060000}"/>
    <cellStyle name="强调文字颜色 4 4 4" xfId="1652" xr:uid="{00000000-0005-0000-0000-0000AF060000}"/>
    <cellStyle name="强调文字颜色 6 10" xfId="1653" xr:uid="{00000000-0005-0000-0000-0000B0060000}"/>
    <cellStyle name="强调文字颜色 6 18" xfId="1654" xr:uid="{00000000-0005-0000-0000-0000B1060000}"/>
    <cellStyle name="强调文字颜色 6 2 2 4" xfId="1655" xr:uid="{00000000-0005-0000-0000-0000B2060000}"/>
    <cellStyle name="强调文字颜色 6 4 4" xfId="1656" xr:uid="{00000000-0005-0000-0000-0000B3060000}"/>
    <cellStyle name="人数" xfId="1657" xr:uid="{00000000-0005-0000-0000-0000B4060000}"/>
    <cellStyle name="日付" xfId="1658" xr:uid="{00000000-0005-0000-0000-0000B5060000}"/>
    <cellStyle name="日付 [L]" xfId="1659" xr:uid="{00000000-0005-0000-0000-0000B6060000}"/>
    <cellStyle name="日付 [S]" xfId="1660" xr:uid="{00000000-0005-0000-0000-0000B7060000}"/>
    <cellStyle name="日付_05044_003_J23A添付資料ダクト用" xfId="1661" xr:uid="{00000000-0005-0000-0000-0000B8060000}"/>
    <cellStyle name="入力" xfId="1662" xr:uid="{00000000-0005-0000-0000-0000B9060000}"/>
    <cellStyle name="潤ﾊ吹h“_1?…" xfId="1663" xr:uid="{00000000-0005-0000-0000-0000BA060000}"/>
    <cellStyle name="眒溼恀腔閉蟈諉" xfId="1664" xr:uid="{00000000-0005-0000-0000-0000BB060000}"/>
    <cellStyle name="審吹h" xfId="1665" xr:uid="{00000000-0005-0000-0000-0000BC060000}"/>
    <cellStyle name="适中 10" xfId="1666" xr:uid="{00000000-0005-0000-0000-0000BD060000}"/>
    <cellStyle name="适中 11" xfId="1667" xr:uid="{00000000-0005-0000-0000-0000BE060000}"/>
    <cellStyle name="适中 18" xfId="1668" xr:uid="{00000000-0005-0000-0000-0000BF060000}"/>
    <cellStyle name="适中 2 2 4" xfId="1669" xr:uid="{00000000-0005-0000-0000-0000C0060000}"/>
    <cellStyle name="适中 3 4" xfId="1670" xr:uid="{00000000-0005-0000-0000-0000C1060000}"/>
    <cellStyle name="输出 10" xfId="1671" xr:uid="{00000000-0005-0000-0000-0000C2060000}"/>
    <cellStyle name="输出 11" xfId="1672" xr:uid="{00000000-0005-0000-0000-0000C3060000}"/>
    <cellStyle name="输出 18" xfId="1673" xr:uid="{00000000-0005-0000-0000-0000C4060000}"/>
    <cellStyle name="输出 2 2 4" xfId="1674" xr:uid="{00000000-0005-0000-0000-0000C5060000}"/>
    <cellStyle name="输出 3 4" xfId="1675" xr:uid="{00000000-0005-0000-0000-0000C6060000}"/>
    <cellStyle name="输出 4 4" xfId="1676" xr:uid="{00000000-0005-0000-0000-0000C7060000}"/>
    <cellStyle name="输入 10" xfId="1677" xr:uid="{00000000-0005-0000-0000-0000C8060000}"/>
    <cellStyle name="输入 11" xfId="1678" xr:uid="{00000000-0005-0000-0000-0000C9060000}"/>
    <cellStyle name="输入 18 2" xfId="1679" xr:uid="{00000000-0005-0000-0000-0000CA060000}"/>
    <cellStyle name="输入 2 2 4" xfId="1680" xr:uid="{00000000-0005-0000-0000-0000CB060000}"/>
    <cellStyle name="输入 3 4" xfId="1681" xr:uid="{00000000-0005-0000-0000-0000CC060000}"/>
    <cellStyle name="輸出" xfId="1682" xr:uid="{00000000-0005-0000-0000-0000CD060000}"/>
    <cellStyle name="輸出 2" xfId="1683" xr:uid="{00000000-0005-0000-0000-0000CE060000}"/>
    <cellStyle name="輸入 2" xfId="1684" xr:uid="{00000000-0005-0000-0000-0000CF060000}"/>
    <cellStyle name="說明文字 14" xfId="1685" xr:uid="{00000000-0005-0000-0000-0000D0060000}"/>
    <cellStyle name="說明文字 2" xfId="1686" xr:uid="{00000000-0005-0000-0000-0000D1060000}"/>
    <cellStyle name="説明文" xfId="1687" xr:uid="{00000000-0005-0000-0000-0000D2060000}"/>
    <cellStyle name="隨後的超連結" xfId="1688" xr:uid="{00000000-0005-0000-0000-0000D3060000}"/>
    <cellStyle name="隨後的超連結 3" xfId="1689" xr:uid="{00000000-0005-0000-0000-0000D4060000}"/>
    <cellStyle name="台数" xfId="1690" xr:uid="{00000000-0005-0000-0000-0000D5060000}"/>
    <cellStyle name="通貨 [0.00]_AMF Titanium Commodity Graphs" xfId="1691" xr:uid="{00000000-0005-0000-0000-0000D6060000}"/>
    <cellStyle name="通貨_AMF Titanium Commodity Graphs" xfId="1692" xr:uid="{00000000-0005-0000-0000-0000D7060000}"/>
    <cellStyle name="文字列 3" xfId="1693" xr:uid="{00000000-0005-0000-0000-0000D8060000}"/>
    <cellStyle name="細明朝10" xfId="1694" xr:uid="{00000000-0005-0000-0000-0000D9060000}"/>
    <cellStyle name="細明朝12" xfId="1695" xr:uid="{00000000-0005-0000-0000-0000DA060000}"/>
    <cellStyle name="細明朝14" xfId="1696" xr:uid="{00000000-0005-0000-0000-0000DB060000}"/>
    <cellStyle name="項目行 2" xfId="1697" xr:uid="{00000000-0005-0000-0000-0000DC060000}"/>
    <cellStyle name="小数点1桁" xfId="1698" xr:uid="{00000000-0005-0000-0000-0000DD060000}"/>
    <cellStyle name="樣式 1 2 6" xfId="1699" xr:uid="{00000000-0005-0000-0000-0000DE060000}"/>
    <cellStyle name="樣式 112 2" xfId="1700" xr:uid="{00000000-0005-0000-0000-0000DF060000}"/>
    <cellStyle name="一般 10 5" xfId="1701" xr:uid="{00000000-0005-0000-0000-0000E0060000}"/>
    <cellStyle name="一般 18 5" xfId="1702" xr:uid="{00000000-0005-0000-0000-0000E1060000}"/>
    <cellStyle name="一般 19 5" xfId="1703" xr:uid="{00000000-0005-0000-0000-0000E2060000}"/>
    <cellStyle name="一般 2 12 2" xfId="1704" xr:uid="{00000000-0005-0000-0000-0000E3060000}"/>
    <cellStyle name="一般 2 2 29" xfId="1705" xr:uid="{00000000-0005-0000-0000-0000E4060000}"/>
    <cellStyle name="一般 2 2 9 2" xfId="1706" xr:uid="{00000000-0005-0000-0000-0000E5060000}"/>
    <cellStyle name="一般 2 5 4" xfId="1707" xr:uid="{00000000-0005-0000-0000-0000E6060000}"/>
    <cellStyle name="一般 23 2" xfId="1708" xr:uid="{00000000-0005-0000-0000-0000E7060000}"/>
    <cellStyle name="一般 24 2 2" xfId="1709" xr:uid="{00000000-0005-0000-0000-0000E8060000}"/>
    <cellStyle name="一般 3 2 11" xfId="1710" xr:uid="{00000000-0005-0000-0000-0000E9060000}"/>
    <cellStyle name="一般 3 2 11 2" xfId="1711" xr:uid="{00000000-0005-0000-0000-0000EA060000}"/>
    <cellStyle name="一般 3 4" xfId="1712" xr:uid="{00000000-0005-0000-0000-0000EB060000}"/>
    <cellStyle name="一般 3 5" xfId="1713" xr:uid="{00000000-0005-0000-0000-0000EC060000}"/>
    <cellStyle name="一般 33 2 2" xfId="1714" xr:uid="{00000000-0005-0000-0000-0000ED060000}"/>
    <cellStyle name="一般 37" xfId="1715" xr:uid="{00000000-0005-0000-0000-0000EE060000}"/>
    <cellStyle name="一般 37 2" xfId="1716" xr:uid="{00000000-0005-0000-0000-0000EF060000}"/>
    <cellStyle name="一般 4" xfId="1717" xr:uid="{00000000-0005-0000-0000-0000F0060000}"/>
    <cellStyle name="一般 4 11" xfId="1718" xr:uid="{00000000-0005-0000-0000-0000F1060000}"/>
    <cellStyle name="一般 4 12" xfId="1719" xr:uid="{00000000-0005-0000-0000-0000F2060000}"/>
    <cellStyle name="一般 43 2" xfId="1720" xr:uid="{00000000-0005-0000-0000-0000F3060000}"/>
    <cellStyle name="一般 6 2 2" xfId="1721" xr:uid="{00000000-0005-0000-0000-0000F4060000}"/>
    <cellStyle name="一般 8 2 5" xfId="1722" xr:uid="{00000000-0005-0000-0000-0000F5060000}"/>
    <cellStyle name="一般 80" xfId="1723" xr:uid="{00000000-0005-0000-0000-0000F6060000}"/>
    <cellStyle name="一般 9" xfId="1748" xr:uid="{00000000-0005-0000-0000-000010070000}"/>
    <cellStyle name="一般 9 2 2" xfId="1724" xr:uid="{00000000-0005-0000-0000-0000F7060000}"/>
    <cellStyle name="一般 9 2 3" xfId="1725" xr:uid="{00000000-0005-0000-0000-0000F8060000}"/>
    <cellStyle name="一般_Cost summary_ASUS Sep2005" xfId="1726" xr:uid="{00000000-0005-0000-0000-0000F9060000}"/>
    <cellStyle name="一般_Sheet1 2" xfId="1727" xr:uid="{00000000-0005-0000-0000-0000FA060000}"/>
    <cellStyle name="一般_Targeting file for Feb. 2006 to Asus_IBM" xfId="1728" xr:uid="{00000000-0005-0000-0000-0000FB060000}"/>
    <cellStyle name="一行" xfId="1729" xr:uid="{00000000-0005-0000-0000-0000FD060000}"/>
    <cellStyle name="백" xfId="1730" xr:uid="{00000000-0005-0000-0000-0000FE060000}"/>
    <cellStyle name="백_북미summer" xfId="1731" xr:uid="{00000000-0005-0000-0000-0000FF060000}"/>
    <cellStyle name="백분율_95" xfId="1732" xr:uid="{00000000-0005-0000-0000-000000070000}"/>
    <cellStyle name="折り返し" xfId="1733" xr:uid="{00000000-0005-0000-0000-000001070000}"/>
    <cellStyle name="整数" xfId="1734" xr:uid="{00000000-0005-0000-0000-000002070000}"/>
    <cellStyle name="中ゴシック12" xfId="1735" xr:uid="{00000000-0005-0000-0000-000003070000}"/>
    <cellStyle name="中ゴシック14" xfId="1736" xr:uid="{00000000-0005-0000-0000-000004070000}"/>
    <cellStyle name="中ゴシック18" xfId="1737" xr:uid="{00000000-0005-0000-0000-000005070000}"/>
    <cellStyle name="中等 14" xfId="1738" xr:uid="{00000000-0005-0000-0000-000006070000}"/>
    <cellStyle name="中等 2" xfId="1739" xr:uid="{00000000-0005-0000-0000-000007070000}"/>
    <cellStyle name="注释 10" xfId="1740" xr:uid="{00000000-0005-0000-0000-000008070000}"/>
    <cellStyle name="注释 11" xfId="1741" xr:uid="{00000000-0005-0000-0000-000009070000}"/>
    <cellStyle name="자리수" xfId="1742" xr:uid="{00000000-0005-0000-0000-00000A070000}"/>
    <cellStyle name="자리수0" xfId="1743" xr:uid="{00000000-0005-0000-0000-00000B070000}"/>
    <cellStyle name="퍼센트" xfId="1744" xr:uid="{00000000-0005-0000-0000-00000C070000}"/>
    <cellStyle name="합산" xfId="1745" xr:uid="{00000000-0005-0000-0000-00000D070000}"/>
    <cellStyle name="화폐기호" xfId="1746" xr:uid="{00000000-0005-0000-0000-00000E070000}"/>
    <cellStyle name="화폐기호0" xfId="1747" xr:uid="{00000000-0005-0000-0000-00000F070000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FF99"/>
      <color rgb="FF0003C0"/>
      <color rgb="FF0000FF"/>
      <color rgb="FFFFC000"/>
      <color rgb="FF2000C0"/>
      <color rgb="FF0000CC"/>
      <color rgb="FF000000"/>
      <color rgb="FF92D050"/>
      <color rgb="FFD9D9D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Management/Project%20Dashboards/Dell%20Boxster/BOXSTER%20Planner%20Rev%20X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MDCE/Monthly%20Pricing/IBM/1999/May%2099/May99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AUG2/AUG%20FIN%20WK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My%20Documents\EXP\2002-07\EXP2002-06su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51%20v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$/Documents%20and%20Settings/KS000022/Local%20Settings/Temporary%20Internet%20Files/Content.Outlook/39M0ZCUF/8866-960001-02%20%202014.3.24%20TEST&#39044;&#20272;&#24037;&#26102;%20-%20&#21103;&#2641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JM74/Documents/LEAN%20TRANSFORMATION%20TRAINING/NEW%20BELT%20CERTIFICATION/PROFESSIONAL%20YELLOW%20BELT/PROCESS%20FMEA/ED14664%20FMEA%20&amp;%20Control%20Plan%20Template%20Rev.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Documents%20and%20Settings\shannlee\My%20Documents\FREMONT\CT2R\CT2R%20AMP-Solectron%2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\share\SiteData\GDL4\Publico\Planning&amp;Scheduling\Plan%20de%20Produccion%20Sanmina\DICIEMBRE%2006\Archivos%20de%20Verificaciones%20de%20planes%20de%20Dic%2006\NEW%20DIC%202006%20PRODUCTION%20PLAN%20ABS%20nuevo%20xsalida%20PUN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My%20Documents\NEWCUSTOMER\CISCO_SYSTEMS\CS_FCST\SLR_CISCO_FCST\MAY_2005\Forecast%20SCI-SAN%20MX-23-MAY-05_RESPON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gannon/Local%20Settings/Temporary%20Internet%20Files/OLK48/BOXSTER%20Planner%20Rev%20X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PRIVATE\SECTION\PROG\Common3\Cisco\Demand_Commit\MA\EDI%20From%20Corporate\Reschedule_PDC__51212_E83%20PENANG%201_11-6-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2001\AI%20Expense\M4\EXP2001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06%20v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VATE\SECTION\PROG\Common3\Cisco\Demand_Commit\MA\EDI%20From%20Corporate\Reschedule_PDC__51212_E83%20PENANG%201_11-6-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choos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L Prices"/>
      <sheetName val="Module Prices"/>
      <sheetName val="CVAs"/>
      <sheetName val="Price List"/>
      <sheetName val="Customer Pricelist"/>
      <sheetName val="FLAT FILE"/>
      <sheetName val="Alt list showing cost detail"/>
      <sheetName val="Sheet3"/>
      <sheetName val="DELTA ANALYSI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866-960001-02"/>
      <sheetName val="Sheet1"/>
      <sheetName val="Price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CoverPage for PFMEA"/>
      <sheetName val="Definitions"/>
      <sheetName val="PFMEA Major Steps"/>
      <sheetName val="PFMEA Common Pitfalls"/>
      <sheetName val="PFMEA Template"/>
      <sheetName val="Control Plan Template"/>
      <sheetName val="Severity"/>
      <sheetName val="Occurrence"/>
      <sheetName val="Detection &amp; Prevention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  <sheetName val="Reschedule-Reconfirm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Act Bui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B4"/>
  <sheetViews>
    <sheetView showGridLines="0" tabSelected="1" zoomScale="70" zoomScaleNormal="70" workbookViewId="0">
      <selection activeCell="D8" sqref="D8"/>
    </sheetView>
  </sheetViews>
  <sheetFormatPr defaultColWidth="8.7265625" defaultRowHeight="15.5"/>
  <cols>
    <col min="1" max="1" width="5.1796875" style="3" customWidth="1"/>
    <col min="2" max="2" width="7" style="3" customWidth="1"/>
    <col min="3" max="3" width="17.1796875" style="4" customWidth="1"/>
    <col min="4" max="4" width="19.453125" style="4" customWidth="1"/>
    <col min="5" max="5" width="7.6328125" style="41" customWidth="1"/>
    <col min="6" max="10" width="8.90625" style="5" customWidth="1"/>
    <col min="11" max="11" width="7.6328125" style="5" customWidth="1"/>
    <col min="12" max="12" width="8.90625" style="5" customWidth="1"/>
    <col min="13" max="13" width="6.6328125" style="5" customWidth="1"/>
    <col min="14" max="14" width="7.6328125" style="5" customWidth="1"/>
    <col min="15" max="15" width="8.90625" style="5" customWidth="1"/>
    <col min="16" max="16" width="8.36328125" style="5" customWidth="1"/>
    <col min="17" max="17" width="7.26953125" style="5" customWidth="1"/>
    <col min="18" max="20" width="8.90625" style="5" customWidth="1"/>
    <col min="21" max="21" width="7.1796875" style="5" customWidth="1"/>
    <col min="22" max="22" width="9.81640625" style="5" customWidth="1"/>
    <col min="23" max="23" width="7.453125" style="5" customWidth="1"/>
    <col min="24" max="25" width="7.26953125" style="5" customWidth="1"/>
    <col min="26" max="26" width="8.1796875" style="42" customWidth="1"/>
    <col min="27" max="27" width="9.08984375" style="6" customWidth="1"/>
    <col min="28" max="28" width="18" style="4" customWidth="1"/>
    <col min="29" max="16384" width="8.7265625" style="4"/>
  </cols>
  <sheetData>
    <row r="1" spans="1:28" s="1" customFormat="1" ht="41" customHeight="1">
      <c r="A1" s="7"/>
      <c r="B1" s="8"/>
      <c r="C1" s="20"/>
      <c r="D1" s="20"/>
      <c r="E1" s="21"/>
      <c r="F1" s="8"/>
      <c r="G1" s="22">
        <v>0.8</v>
      </c>
      <c r="H1" s="23">
        <v>0.8</v>
      </c>
      <c r="I1" s="22">
        <v>0.8</v>
      </c>
      <c r="J1" s="22">
        <v>0.8</v>
      </c>
      <c r="K1" s="38" t="s">
        <v>0</v>
      </c>
      <c r="L1" s="39"/>
      <c r="M1" s="40"/>
      <c r="N1" s="15"/>
      <c r="O1" s="24"/>
      <c r="P1" s="8">
        <v>1.05</v>
      </c>
      <c r="Q1" s="8"/>
      <c r="R1" s="8"/>
      <c r="S1" s="8">
        <v>1.05</v>
      </c>
      <c r="T1" s="8"/>
      <c r="U1" s="8"/>
      <c r="V1" s="8"/>
      <c r="W1" s="25">
        <v>4.0000000000000001E-3</v>
      </c>
      <c r="X1" s="8">
        <v>1</v>
      </c>
      <c r="Y1" s="8">
        <v>1.2</v>
      </c>
      <c r="Z1" s="21"/>
      <c r="AA1" s="26"/>
      <c r="AB1" s="20"/>
    </row>
    <row r="2" spans="1:28" s="1" customFormat="1" ht="71" customHeight="1">
      <c r="A2" s="7"/>
      <c r="B2" s="8"/>
      <c r="C2" s="9" t="s">
        <v>1</v>
      </c>
      <c r="D2" s="9" t="s">
        <v>2</v>
      </c>
      <c r="E2" s="9" t="s">
        <v>26</v>
      </c>
      <c r="F2" s="10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27" t="s">
        <v>12</v>
      </c>
      <c r="P2" s="27" t="s">
        <v>13</v>
      </c>
      <c r="Q2" s="16" t="s">
        <v>14</v>
      </c>
      <c r="R2" s="27" t="s">
        <v>15</v>
      </c>
      <c r="S2" s="27" t="s">
        <v>16</v>
      </c>
      <c r="T2" s="27" t="s">
        <v>17</v>
      </c>
      <c r="U2" s="10" t="s">
        <v>3</v>
      </c>
      <c r="V2" s="16" t="s">
        <v>18</v>
      </c>
      <c r="W2" s="16" t="s">
        <v>19</v>
      </c>
      <c r="X2" s="16" t="s">
        <v>20</v>
      </c>
      <c r="Y2" s="16" t="s">
        <v>21</v>
      </c>
      <c r="Z2" s="18" t="s">
        <v>22</v>
      </c>
      <c r="AA2" s="28" t="s">
        <v>23</v>
      </c>
      <c r="AB2" s="20"/>
    </row>
    <row r="3" spans="1:28" s="2" customFormat="1" ht="31" customHeight="1">
      <c r="A3" s="11"/>
      <c r="B3" s="29">
        <v>1</v>
      </c>
      <c r="C3" s="12" t="s">
        <v>24</v>
      </c>
      <c r="D3" s="30" t="s">
        <v>25</v>
      </c>
      <c r="E3" s="31">
        <v>4</v>
      </c>
      <c r="F3" s="13">
        <v>1266</v>
      </c>
      <c r="G3" s="32">
        <f>88.75/0.8</f>
        <v>110.9375</v>
      </c>
      <c r="H3" s="32">
        <f t="shared" ref="H3" si="0">0/0.8</f>
        <v>0</v>
      </c>
      <c r="I3" s="32">
        <f t="shared" ref="I3" si="1">30/0.8</f>
        <v>37.5</v>
      </c>
      <c r="J3" s="32">
        <f>60/0.8</f>
        <v>75</v>
      </c>
      <c r="K3" s="17">
        <v>30</v>
      </c>
      <c r="L3" s="33">
        <f>65*60*1.1/2</f>
        <v>2145</v>
      </c>
      <c r="M3" s="17">
        <v>60</v>
      </c>
      <c r="N3" s="17">
        <f t="shared" ref="N3" si="2">SUM(G3:M3)</f>
        <v>2458.4375</v>
      </c>
      <c r="O3" s="34">
        <v>34.299999999999997</v>
      </c>
      <c r="P3" s="34">
        <f>ROUND((O3*N3/3600)*1.02,2)</f>
        <v>23.89</v>
      </c>
      <c r="Q3" s="17">
        <v>111.25</v>
      </c>
      <c r="R3" s="34">
        <v>162.80000000000001</v>
      </c>
      <c r="S3" s="34">
        <f>ROUND((R3*Q3/3600)*1.02,2)</f>
        <v>5.13</v>
      </c>
      <c r="T3" s="34">
        <f>SUM(P3,S3)</f>
        <v>29.02</v>
      </c>
      <c r="U3" s="14">
        <f t="shared" ref="U3" si="3">F3</f>
        <v>1266</v>
      </c>
      <c r="V3" s="35">
        <v>3468.08</v>
      </c>
      <c r="W3" s="34">
        <f>V3*0.002</f>
        <v>6.9361600000000001</v>
      </c>
      <c r="X3" s="34">
        <f>ROUNDUP(P3*0.8,2)</f>
        <v>19.12</v>
      </c>
      <c r="Y3" s="34">
        <f>ROUNDUP(P3*0.9,2)</f>
        <v>21.51</v>
      </c>
      <c r="Z3" s="19">
        <f>ROUNDUP(SUM(T3,W3:Y3),2)</f>
        <v>76.59</v>
      </c>
      <c r="AA3" s="36">
        <v>241</v>
      </c>
      <c r="AB3" s="37"/>
    </row>
    <row r="4" spans="1:28" s="2" customFormat="1" ht="31" customHeight="1">
      <c r="A4" s="11"/>
      <c r="B4" s="11"/>
      <c r="C4" s="11"/>
      <c r="D4" s="11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11"/>
    </row>
  </sheetData>
  <autoFilter ref="A2:AB3" xr:uid="{00000000-0009-0000-0000-000000000000}"/>
  <mergeCells count="1">
    <mergeCell ref="K1:M1"/>
  </mergeCells>
  <phoneticPr fontId="491" type="noConversion"/>
  <conditionalFormatting sqref="D4">
    <cfRule type="expression" dxfId="1" priority="9">
      <formula>#REF!&lt;&gt;""</formula>
    </cfRule>
  </conditionalFormatting>
  <conditionalFormatting sqref="D3">
    <cfRule type="expression" dxfId="0" priority="13">
      <formula>#REF!&lt;&gt;""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MVA</vt:lpstr>
    </vt:vector>
  </TitlesOfParts>
  <Company>USI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005017-潘有含</cp:lastModifiedBy>
  <dcterms:created xsi:type="dcterms:W3CDTF">2020-05-27T04:35:00Z</dcterms:created>
  <dcterms:modified xsi:type="dcterms:W3CDTF">2025-12-09T05:20:16Z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A783112A357A4D35B85E9D1F8756C704_13</vt:lpwstr>
  </property>
  <property fmtid="{D5CDD505-2E9C-101B-9397-08002B2CF9AE}" pid="3" name="KSOProductBuildVer">
    <vt:lpwstr>2052-12.1.0.21915</vt:lpwstr>
  </property>
  <property fmtid="{D5CDD505-2E9C-101B-9397-08002B2CF9AE}" pid="4" name="commondata">
    <vt:lpwstr>eyJoZGlkIjoiMTI5OWM1ODliZTA0YmU3M2Y1MjM2M2I5ZjdmNzMwOWQifQ==</vt:lpwstr>
  </property>
</Properties>
</file>