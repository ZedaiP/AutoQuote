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Project\Quotation\LogicData\"/>
    </mc:Choice>
  </mc:AlternateContent>
  <xr:revisionPtr revIDLastSave="0" documentId="13_ncr:1_{59A802EF-E190-4644-92AC-91F5C0DE645B}" xr6:coauthVersionLast="36" xr6:coauthVersionMax="36" xr10:uidLastSave="{00000000-0000-0000-0000-000000000000}"/>
  <bookViews>
    <workbookView xWindow="0" yWindow="0" windowWidth="20490" windowHeight="7490" tabRatio="850" activeTab="4" xr2:uid="{00000000-000D-0000-FFFF-FFFF00000000}"/>
  </bookViews>
  <sheets>
    <sheet name="1" sheetId="42" r:id="rId1"/>
    <sheet name="2" sheetId="43" r:id="rId2"/>
    <sheet name="3" sheetId="44" r:id="rId3"/>
    <sheet name="4" sheetId="45" r:id="rId4"/>
    <sheet name="5" sheetId="46" r:id="rId5"/>
    <sheet name="6" sheetId="47" r:id="rId6"/>
    <sheet name="7" sheetId="48" r:id="rId7"/>
    <sheet name="12" sheetId="49" r:id="rId8"/>
    <sheet name="8" sheetId="50" r:id="rId9"/>
    <sheet name="9" sheetId="51" r:id="rId10"/>
    <sheet name="10" sheetId="52" r:id="rId11"/>
    <sheet name="11" sheetId="53" r:id="rId12"/>
    <sheet name="13" sheetId="56" r:id="rId13"/>
    <sheet name="14" sheetId="54" r:id="rId14"/>
    <sheet name="15" sheetId="55" r:id="rId15"/>
    <sheet name="16" sheetId="57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BAL" hidden="1">#REF!</definedName>
    <definedName name="__123Graph_LBL_ABAL" hidden="1">#REF!</definedName>
    <definedName name="__123Graph_XBAL" hidden="1">#REF!</definedName>
    <definedName name="_1K1_" hidden="1">{#N/A,#N/A,FALSE,"Sheet1"}</definedName>
    <definedName name="_Fill" hidden="1">#REF!</definedName>
    <definedName name="_Fill." hidden="1">#REF!</definedName>
    <definedName name="_Key1" hidden="1">#REF!</definedName>
    <definedName name="_Key1." hidden="1">#REF!</definedName>
    <definedName name="_Key2" hidden="1">#REF!</definedName>
    <definedName name="_Key2." hidden="1">#REF!</definedName>
    <definedName name="_Order1" hidden="1">255</definedName>
    <definedName name="_Order2" hidden="1">0</definedName>
    <definedName name="_Parse_Out" hidden="1">'[1]Price List'!#REF!</definedName>
    <definedName name="_R65763">#REF!</definedName>
    <definedName name="_R65789">#REF!</definedName>
    <definedName name="_R68720">#REF!</definedName>
    <definedName name="_RJ11">#REF!</definedName>
    <definedName name="_Sort" hidden="1">#REF!</definedName>
    <definedName name="ab" hidden="1">[2]Sheet1!#REF!</definedName>
    <definedName name="ac" hidden="1">[2]OT!#REF!</definedName>
    <definedName name="ad" hidden="1">#REF!</definedName>
    <definedName name="AFill" hidden="1">[3]IA1!$E$7:$W$7</definedName>
    <definedName name="Ardbeg_Info">#REF!</definedName>
    <definedName name="AU" hidden="1">{"'sheet(22) (22)'!$A$64:$K$79"}</definedName>
    <definedName name="BM">'[4]choose list'!$A$2:$A$16</definedName>
    <definedName name="Brew_mech">#REF!</definedName>
    <definedName name="Carol" hidden="1">{#N/A,#N/A,FALSE,"Sheet1"}</definedName>
    <definedName name="csDesignMode">1</definedName>
    <definedName name="da" hidden="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5">#REF!</definedName>
    <definedName name="DateFG0">'[5]Act Built'!$A$2:$IV$2</definedName>
    <definedName name="de3f2" hidden="1">{#N/A,#N/A,FALSE,"Sheet1"}</definedName>
    <definedName name="ds" hidden="1">#REF!</definedName>
    <definedName name="ED" hidden="1">{"'sheet(22) (22)'!$A$64:$K$79"}</definedName>
    <definedName name="EO_Mech">#REF!</definedName>
    <definedName name="erase" hidden="1">[2]Sheet1!$E$39:$E$43</definedName>
    <definedName name="eraseme" hidden="1">[2]Sheet1!#REF!</definedName>
    <definedName name="fdsfsdfdsf" hidden="1">'[6]Issues List'!#REF!</definedName>
    <definedName name="formfactor">'[4]choose list'!$B$2:$B$32</definedName>
    <definedName name="frfrgw" hidden="1">{#N/A,#N/A,FALSE,"Sheet1"}</definedName>
    <definedName name="FRU">#REF!</definedName>
    <definedName name="Glen_Ord_Info">#REF!</definedName>
    <definedName name="Header_Codes">#REF!</definedName>
    <definedName name="hhjhh" hidden="1">'[6]Issues List'!#REF!</definedName>
    <definedName name="HTML_CodePage" hidden="1">950</definedName>
    <definedName name="HTML_Control" hidden="1">{"'MODIFY &amp; REPARE '!$B$1:$S$27"}</definedName>
    <definedName name="HTML_Description" hidden="1">""</definedName>
    <definedName name="HTML_Email" hidden="1">""</definedName>
    <definedName name="HTML_Header" hidden="1">""</definedName>
    <definedName name="HTML_LastUpdate" hidden="1">"1999/3/11"</definedName>
    <definedName name="HTML_LineAfter" hidden="1">FALSE</definedName>
    <definedName name="HTML_LineBefore" hidden="1">FALSE</definedName>
    <definedName name="HTML_Name" hidden="1">"Akina Chih"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"\\Akina\M1I5\HTML\schedule\tifa.htm"</definedName>
    <definedName name="HTML_PathTemplate" hidden="1">"C:\WEBSHARE\WWWROOT\Compal\DELL\TWISTER\Packing\Cosmetic\dellpctwd.htm"</definedName>
    <definedName name="HTML_Title" hidden="1">""</definedName>
    <definedName name="HTML1_1" hidden="1">"'[anly9705.xls]EM02'!$A$1:$H$38"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"anly9705"</definedName>
    <definedName name="HTML1_4" hidden="1">"EM02"</definedName>
    <definedName name="HTML1_5" hidden="1">""</definedName>
    <definedName name="HTML1_6" hidden="1">-4146</definedName>
    <definedName name="HTML1_7" hidden="1">-4146</definedName>
    <definedName name="HTML1_8" hidden="1">"1997/7/7"</definedName>
    <definedName name="HTML1_9" hidden="1">"mis1"</definedName>
    <definedName name="HTMLCount" hidden="1">1</definedName>
    <definedName name="IA" hidden="1">[7]IA1!$D$7:$N$7</definedName>
    <definedName name="jkjij" hidden="1">'[6]Issues List'!#REF!</definedName>
    <definedName name="k" hidden="1">{#N/A,#N/A,FALSE,"Sheet1"}</definedName>
    <definedName name="Keyboard">#REF!</definedName>
    <definedName name="Language_Keyboards">#REF!</definedName>
    <definedName name="Line_Cord">#REF!</definedName>
    <definedName name="liteon" hidden="1">#REF!</definedName>
    <definedName name="lkpokop" hidden="1">{#N/A,#N/A,FALSE,"Sheet1"}</definedName>
    <definedName name="Memory">#REF!</definedName>
    <definedName name="Modem">#REF!</definedName>
    <definedName name="Motherboard">#REF!</definedName>
    <definedName name="NBD">'[8]choose list'!$G$2:$G$4</definedName>
    <definedName name="Odyssey_Memory">#REF!</definedName>
    <definedName name="Odyssey_Optical_Drives">#REF!</definedName>
    <definedName name="olj" hidden="1">{#N/A,#N/A,FALSE,"Sheet1"}</definedName>
    <definedName name="Optical">#REF!</definedName>
    <definedName name="OXM">'[4]choose list'!$E$2:$E$5</definedName>
    <definedName name="part" hidden="1">'[9]Issues List'!#REF!</definedName>
    <definedName name="Parts_Specific_to_Brewster">#REF!</definedName>
    <definedName name="Parts_Specific_to_Eastham_and_Orleans">#REF!</definedName>
    <definedName name="Pla" hidden="1">'[10]Issues List'!#REF!</definedName>
    <definedName name="Planar">#REF!</definedName>
    <definedName name="Power_Brick">#REF!</definedName>
    <definedName name="Power_Cord">#REF!</definedName>
    <definedName name="_xlnm.Print_Area">#REF!</definedName>
    <definedName name="Reas">'[11]Reschedule-Reconfirm'!$A$68:$A$81</definedName>
    <definedName name="RJ11_Connectors">#REF!</definedName>
    <definedName name="segfdfhgf" hidden="1">'[12]Issues List'!#REF!</definedName>
    <definedName name="Soft_Modem">#REF!</definedName>
    <definedName name="Speakers">#REF!</definedName>
    <definedName name="Speyburn2_Info">#REF!</definedName>
    <definedName name="status">'[4]choose list'!$F$2:$F$5</definedName>
    <definedName name="Stewart2">#REF!</definedName>
    <definedName name="TableName">"Dummy"</definedName>
    <definedName name="technology">'[4]choose list'!$C$2:$C$17</definedName>
    <definedName name="Tormore_Info">#REF!</definedName>
    <definedName name="TP">'[4]choose list'!$D$2:$D$19</definedName>
    <definedName name="User">'[11]Reschedule-Reconfirm'!$A$64:$A$65</definedName>
    <definedName name="w" hidden="1">#REF!</definedName>
    <definedName name="wrn.Cisco._.EFA._.Handout." hidden="1">{#N/A,#N/A,TRUE,"Cover";#N/A,#N/A,TRUE,"Service Report";#N/A,#N/A,TRUE,"Overall";#N/A,#N/A,TRUE,"Overall Trend";#N/A,#N/A,TRUE,"3600";#N/A,#N/A,TRUE,"2600";#N/A,#N/A,TRUE,"1700";#N/A,#N/A,TRUE,"1600";#N/A,#N/A,TRUE,"1000";#N/A,#N/A,TRUE,"800";#N/A,#N/A,TRUE,"NM &amp; WICs";#N/A,#N/A,TRUE,"Rev History";#N/A,#N/A,TRUE,"Data key";#N/A,#N/A,TRUE,"Special Detail"}</definedName>
    <definedName name="wrn.test." hidden="1">{#N/A,#N/A,FALSE,"Sheet1"}</definedName>
    <definedName name="Z_06685B21_AA05_11D2_AA72_00C04FCC440D_.wvu.Cols" hidden="1">#REF!</definedName>
    <definedName name="Z_06685B21_AA05_11D2_AA72_00C04FCC440D_.wvu.PrintArea" hidden="1">#REF!</definedName>
    <definedName name="Z_06685B21_AA05_11D2_AA72_00C04FCC440D_.wvu.Rows" hidden="1">#REF!</definedName>
    <definedName name="得" hidden="1">{"'sheet(22) (22)'!$A$64:$K$79"}</definedName>
  </definedNames>
  <calcPr calcId="191029"/>
</workbook>
</file>

<file path=xl/calcChain.xml><?xml version="1.0" encoding="utf-8"?>
<calcChain xmlns="http://schemas.openxmlformats.org/spreadsheetml/2006/main">
  <c r="C77" i="57" l="1"/>
  <c r="C76" i="57"/>
  <c r="C75" i="57"/>
  <c r="C74" i="57"/>
  <c r="C73" i="57"/>
  <c r="D70" i="57"/>
  <c r="C66" i="57"/>
  <c r="C65" i="57"/>
  <c r="D64" i="57"/>
  <c r="C60" i="57"/>
  <c r="C59" i="57"/>
  <c r="D58" i="57"/>
  <c r="M53" i="57"/>
  <c r="L53" i="57"/>
  <c r="J53" i="57"/>
  <c r="G53" i="57"/>
  <c r="F53" i="57"/>
  <c r="M52" i="57"/>
  <c r="J52" i="57"/>
  <c r="D52" i="57"/>
  <c r="M51" i="57"/>
  <c r="J51" i="57"/>
  <c r="D51" i="57"/>
  <c r="M50" i="57"/>
  <c r="J50" i="57"/>
  <c r="D50" i="57"/>
  <c r="M49" i="57"/>
  <c r="J49" i="57"/>
  <c r="G49" i="57"/>
  <c r="D49" i="57"/>
  <c r="M48" i="57"/>
  <c r="G48" i="57"/>
  <c r="D48" i="57"/>
  <c r="C48" i="57"/>
  <c r="M47" i="57"/>
  <c r="G47" i="57"/>
  <c r="D47" i="57"/>
  <c r="M46" i="57"/>
  <c r="L46" i="57"/>
  <c r="J46" i="57"/>
  <c r="G46" i="57"/>
  <c r="D46" i="57"/>
  <c r="C46" i="57"/>
  <c r="M45" i="57"/>
  <c r="G45" i="57"/>
  <c r="D45" i="57"/>
  <c r="C41" i="57"/>
  <c r="C40" i="57"/>
  <c r="D39" i="57"/>
  <c r="C35" i="57"/>
  <c r="C34" i="57"/>
  <c r="G33" i="57"/>
  <c r="F33" i="57"/>
  <c r="C33" i="57"/>
  <c r="J30" i="57"/>
  <c r="D29" i="57"/>
  <c r="J28" i="57"/>
  <c r="C21" i="57"/>
  <c r="C20" i="57"/>
  <c r="G19" i="57"/>
  <c r="F19" i="57"/>
  <c r="C19" i="57"/>
  <c r="J17" i="57"/>
  <c r="D16" i="57"/>
  <c r="J15" i="57"/>
  <c r="C7" i="57"/>
  <c r="F6" i="57"/>
  <c r="D6" i="57"/>
  <c r="C6" i="57"/>
  <c r="E5" i="57"/>
  <c r="E4" i="57"/>
  <c r="C86" i="55"/>
  <c r="C85" i="55"/>
  <c r="C84" i="55"/>
  <c r="C83" i="55"/>
  <c r="C82" i="55"/>
  <c r="D79" i="55"/>
  <c r="C75" i="55"/>
  <c r="C74" i="55"/>
  <c r="D73" i="55"/>
  <c r="C69" i="55"/>
  <c r="C68" i="55"/>
  <c r="D67" i="55"/>
  <c r="C63" i="55"/>
  <c r="M62" i="55"/>
  <c r="L62" i="55"/>
  <c r="J62" i="55"/>
  <c r="G62" i="55"/>
  <c r="F62" i="55"/>
  <c r="C62" i="55"/>
  <c r="M61" i="55"/>
  <c r="J61" i="55"/>
  <c r="D61" i="55"/>
  <c r="M60" i="55"/>
  <c r="J60" i="55"/>
  <c r="D60" i="55"/>
  <c r="M59" i="55"/>
  <c r="J59" i="55"/>
  <c r="D59" i="55"/>
  <c r="M58" i="55"/>
  <c r="J58" i="55"/>
  <c r="G58" i="55"/>
  <c r="D58" i="55"/>
  <c r="M57" i="55"/>
  <c r="G57" i="55"/>
  <c r="D57" i="55"/>
  <c r="C57" i="55"/>
  <c r="M56" i="55"/>
  <c r="G56" i="55"/>
  <c r="D56" i="55"/>
  <c r="M55" i="55"/>
  <c r="L55" i="55"/>
  <c r="J55" i="55"/>
  <c r="G55" i="55"/>
  <c r="D55" i="55"/>
  <c r="C55" i="55"/>
  <c r="M54" i="55"/>
  <c r="G54" i="55"/>
  <c r="D54" i="55"/>
  <c r="M53" i="55"/>
  <c r="G53" i="55"/>
  <c r="D53" i="55"/>
  <c r="C49" i="55"/>
  <c r="C48" i="55"/>
  <c r="D47" i="55"/>
  <c r="C43" i="55"/>
  <c r="C42" i="55"/>
  <c r="G41" i="55"/>
  <c r="F41" i="55"/>
  <c r="C41" i="55"/>
  <c r="J38" i="55"/>
  <c r="D37" i="55"/>
  <c r="J36" i="55"/>
  <c r="J35" i="55"/>
  <c r="C28" i="55"/>
  <c r="C27" i="55"/>
  <c r="G26" i="55"/>
  <c r="F26" i="55"/>
  <c r="C26" i="55"/>
  <c r="J24" i="55"/>
  <c r="D23" i="55"/>
  <c r="J22" i="55"/>
  <c r="J21" i="55"/>
  <c r="C14" i="55"/>
  <c r="C13" i="55"/>
  <c r="C7" i="55"/>
  <c r="F6" i="55"/>
  <c r="D6" i="55"/>
  <c r="C6" i="55"/>
  <c r="F5" i="55"/>
  <c r="E5" i="55"/>
  <c r="F4" i="55"/>
  <c r="E4" i="55"/>
  <c r="C85" i="54"/>
  <c r="C84" i="54"/>
  <c r="C83" i="54"/>
  <c r="C82" i="54"/>
  <c r="D81" i="54"/>
  <c r="C81" i="54"/>
  <c r="C79" i="54"/>
  <c r="D78" i="54"/>
  <c r="C74" i="54"/>
  <c r="C73" i="54"/>
  <c r="D72" i="54"/>
  <c r="C68" i="54"/>
  <c r="C67" i="54"/>
  <c r="D66" i="54"/>
  <c r="C62" i="54"/>
  <c r="M61" i="54"/>
  <c r="L61" i="54"/>
  <c r="J61" i="54"/>
  <c r="G61" i="54"/>
  <c r="F61" i="54"/>
  <c r="C61" i="54"/>
  <c r="M60" i="54"/>
  <c r="J60" i="54"/>
  <c r="D60" i="54"/>
  <c r="M59" i="54"/>
  <c r="J59" i="54"/>
  <c r="D59" i="54"/>
  <c r="M58" i="54"/>
  <c r="J58" i="54"/>
  <c r="D58" i="54"/>
  <c r="M57" i="54"/>
  <c r="J57" i="54"/>
  <c r="G57" i="54"/>
  <c r="D57" i="54"/>
  <c r="M56" i="54"/>
  <c r="G56" i="54"/>
  <c r="D56" i="54"/>
  <c r="C56" i="54"/>
  <c r="M55" i="54"/>
  <c r="G55" i="54"/>
  <c r="D55" i="54"/>
  <c r="M54" i="54"/>
  <c r="L54" i="54"/>
  <c r="J54" i="54"/>
  <c r="G54" i="54"/>
  <c r="D54" i="54"/>
  <c r="C54" i="54"/>
  <c r="M53" i="54"/>
  <c r="G53" i="54"/>
  <c r="D53" i="54"/>
  <c r="C49" i="54"/>
  <c r="C48" i="54"/>
  <c r="D47" i="54"/>
  <c r="C43" i="54"/>
  <c r="C42" i="54"/>
  <c r="G41" i="54"/>
  <c r="F41" i="54"/>
  <c r="C41" i="54"/>
  <c r="J38" i="54"/>
  <c r="D37" i="54"/>
  <c r="J36" i="54"/>
  <c r="J35" i="54"/>
  <c r="C28" i="54"/>
  <c r="C27" i="54"/>
  <c r="G26" i="54"/>
  <c r="F26" i="54"/>
  <c r="C26" i="54"/>
  <c r="J24" i="54"/>
  <c r="D23" i="54"/>
  <c r="J22" i="54"/>
  <c r="J21" i="54"/>
  <c r="C14" i="54"/>
  <c r="C13" i="54"/>
  <c r="C12" i="54"/>
  <c r="C7" i="54"/>
  <c r="F6" i="54"/>
  <c r="D6" i="54"/>
  <c r="C6" i="54"/>
  <c r="F5" i="54"/>
  <c r="E5" i="54"/>
  <c r="F4" i="54"/>
  <c r="E4" i="54"/>
  <c r="C85" i="56"/>
  <c r="C84" i="56"/>
  <c r="C83" i="56"/>
  <c r="C82" i="56"/>
  <c r="D81" i="56"/>
  <c r="C81" i="56"/>
  <c r="D78" i="56"/>
  <c r="C74" i="56"/>
  <c r="C73" i="56"/>
  <c r="D72" i="56"/>
  <c r="C68" i="56"/>
  <c r="C67" i="56"/>
  <c r="D66" i="56"/>
  <c r="C62" i="56"/>
  <c r="M61" i="56"/>
  <c r="L61" i="56"/>
  <c r="J61" i="56"/>
  <c r="G61" i="56"/>
  <c r="F61" i="56"/>
  <c r="C61" i="56"/>
  <c r="M60" i="56"/>
  <c r="J60" i="56"/>
  <c r="D60" i="56"/>
  <c r="M59" i="56"/>
  <c r="J59" i="56"/>
  <c r="D59" i="56"/>
  <c r="M58" i="56"/>
  <c r="J58" i="56"/>
  <c r="D58" i="56"/>
  <c r="M57" i="56"/>
  <c r="J57" i="56"/>
  <c r="G57" i="56"/>
  <c r="D57" i="56"/>
  <c r="M56" i="56"/>
  <c r="G56" i="56"/>
  <c r="D56" i="56"/>
  <c r="C56" i="56"/>
  <c r="M55" i="56"/>
  <c r="G55" i="56"/>
  <c r="D55" i="56"/>
  <c r="M54" i="56"/>
  <c r="L54" i="56"/>
  <c r="J54" i="56"/>
  <c r="G54" i="56"/>
  <c r="D54" i="56"/>
  <c r="C54" i="56"/>
  <c r="M53" i="56"/>
  <c r="G53" i="56"/>
  <c r="D53" i="56"/>
  <c r="C49" i="56"/>
  <c r="C48" i="56"/>
  <c r="D47" i="56"/>
  <c r="C47" i="56"/>
  <c r="C43" i="56"/>
  <c r="C42" i="56"/>
  <c r="G41" i="56"/>
  <c r="F41" i="56"/>
  <c r="C41" i="56"/>
  <c r="J38" i="56"/>
  <c r="D37" i="56"/>
  <c r="J36" i="56"/>
  <c r="J35" i="56"/>
  <c r="C28" i="56"/>
  <c r="C27" i="56"/>
  <c r="G26" i="56"/>
  <c r="F26" i="56"/>
  <c r="C26" i="56"/>
  <c r="J24" i="56"/>
  <c r="D23" i="56"/>
  <c r="J22" i="56"/>
  <c r="J21" i="56"/>
  <c r="C14" i="56"/>
  <c r="C13" i="56"/>
  <c r="C7" i="56"/>
  <c r="F6" i="56"/>
  <c r="D6" i="56"/>
  <c r="C6" i="56"/>
  <c r="F5" i="56"/>
  <c r="E5" i="56"/>
  <c r="F4" i="56"/>
  <c r="E4" i="56"/>
  <c r="C78" i="53"/>
  <c r="C77" i="53"/>
  <c r="C76" i="53"/>
  <c r="C75" i="53"/>
  <c r="C74" i="53"/>
  <c r="D71" i="53"/>
  <c r="C67" i="53"/>
  <c r="C66" i="53"/>
  <c r="D65" i="53"/>
  <c r="C61" i="53"/>
  <c r="C60" i="53"/>
  <c r="D59" i="53"/>
  <c r="M54" i="53"/>
  <c r="L54" i="53"/>
  <c r="J54" i="53"/>
  <c r="G54" i="53"/>
  <c r="F54" i="53"/>
  <c r="M53" i="53"/>
  <c r="J53" i="53"/>
  <c r="D53" i="53"/>
  <c r="M52" i="53"/>
  <c r="J52" i="53"/>
  <c r="D52" i="53"/>
  <c r="M51" i="53"/>
  <c r="J51" i="53"/>
  <c r="D51" i="53"/>
  <c r="M50" i="53"/>
  <c r="J50" i="53"/>
  <c r="D50" i="53"/>
  <c r="M49" i="53"/>
  <c r="J49" i="53"/>
  <c r="G49" i="53"/>
  <c r="D49" i="53"/>
  <c r="M48" i="53"/>
  <c r="G48" i="53"/>
  <c r="D48" i="53"/>
  <c r="M47" i="53"/>
  <c r="G47" i="53"/>
  <c r="D47" i="53"/>
  <c r="M46" i="53"/>
  <c r="L46" i="53"/>
  <c r="K46" i="53"/>
  <c r="J46" i="53"/>
  <c r="G46" i="53"/>
  <c r="D46" i="53"/>
  <c r="M45" i="53"/>
  <c r="G45" i="53"/>
  <c r="D45" i="53"/>
  <c r="C41" i="53"/>
  <c r="C40" i="53"/>
  <c r="D39" i="53"/>
  <c r="C35" i="53"/>
  <c r="C34" i="53"/>
  <c r="G33" i="53"/>
  <c r="F33" i="53"/>
  <c r="C33" i="53"/>
  <c r="J30" i="53"/>
  <c r="D29" i="53"/>
  <c r="J28" i="53"/>
  <c r="C21" i="53"/>
  <c r="C20" i="53"/>
  <c r="G19" i="53"/>
  <c r="F19" i="53"/>
  <c r="C19" i="53"/>
  <c r="J17" i="53"/>
  <c r="D16" i="53"/>
  <c r="J15" i="53"/>
  <c r="C7" i="53"/>
  <c r="F6" i="53"/>
  <c r="D6" i="53"/>
  <c r="C6" i="53"/>
  <c r="E5" i="53"/>
  <c r="E4" i="53"/>
  <c r="C77" i="52"/>
  <c r="C76" i="52"/>
  <c r="C75" i="52"/>
  <c r="C74" i="52"/>
  <c r="C73" i="52"/>
  <c r="D70" i="52"/>
  <c r="C66" i="52"/>
  <c r="C65" i="52"/>
  <c r="D64" i="52"/>
  <c r="C60" i="52"/>
  <c r="C59" i="52"/>
  <c r="D58" i="52"/>
  <c r="M53" i="52"/>
  <c r="L53" i="52"/>
  <c r="J53" i="52"/>
  <c r="G53" i="52"/>
  <c r="F53" i="52"/>
  <c r="M52" i="52"/>
  <c r="J52" i="52"/>
  <c r="D52" i="52"/>
  <c r="M51" i="52"/>
  <c r="J51" i="52"/>
  <c r="D51" i="52"/>
  <c r="M50" i="52"/>
  <c r="J50" i="52"/>
  <c r="D50" i="52"/>
  <c r="M49" i="52"/>
  <c r="J49" i="52"/>
  <c r="G49" i="52"/>
  <c r="D49" i="52"/>
  <c r="M48" i="52"/>
  <c r="G48" i="52"/>
  <c r="D48" i="52"/>
  <c r="C48" i="52"/>
  <c r="M47" i="52"/>
  <c r="G47" i="52"/>
  <c r="D47" i="52"/>
  <c r="M46" i="52"/>
  <c r="L46" i="52"/>
  <c r="J46" i="52"/>
  <c r="G46" i="52"/>
  <c r="D46" i="52"/>
  <c r="C46" i="52"/>
  <c r="M45" i="52"/>
  <c r="G45" i="52"/>
  <c r="D45" i="52"/>
  <c r="C41" i="52"/>
  <c r="C40" i="52"/>
  <c r="D39" i="52"/>
  <c r="C35" i="52"/>
  <c r="C34" i="52"/>
  <c r="G33" i="52"/>
  <c r="F33" i="52"/>
  <c r="C33" i="52"/>
  <c r="J30" i="52"/>
  <c r="D29" i="52"/>
  <c r="J28" i="52"/>
  <c r="C21" i="52"/>
  <c r="C20" i="52"/>
  <c r="G19" i="52"/>
  <c r="F19" i="52"/>
  <c r="C19" i="52"/>
  <c r="J17" i="52"/>
  <c r="D16" i="52"/>
  <c r="J15" i="52"/>
  <c r="C7" i="52"/>
  <c r="F6" i="52"/>
  <c r="D6" i="52"/>
  <c r="C6" i="52"/>
  <c r="E5" i="52"/>
  <c r="E4" i="52"/>
  <c r="C77" i="51"/>
  <c r="C76" i="51"/>
  <c r="C75" i="51"/>
  <c r="C74" i="51"/>
  <c r="C73" i="51"/>
  <c r="D70" i="51"/>
  <c r="C66" i="51"/>
  <c r="C65" i="51"/>
  <c r="D64" i="51"/>
  <c r="C60" i="51"/>
  <c r="C59" i="51"/>
  <c r="D58" i="51"/>
  <c r="C54" i="51"/>
  <c r="M53" i="51"/>
  <c r="L53" i="51"/>
  <c r="J53" i="51"/>
  <c r="G53" i="51"/>
  <c r="F53" i="51"/>
  <c r="C53" i="51"/>
  <c r="M52" i="51"/>
  <c r="J52" i="51"/>
  <c r="D52" i="51"/>
  <c r="M51" i="51"/>
  <c r="J51" i="51"/>
  <c r="D51" i="51"/>
  <c r="M50" i="51"/>
  <c r="J50" i="51"/>
  <c r="D50" i="51"/>
  <c r="M49" i="51"/>
  <c r="J49" i="51"/>
  <c r="G49" i="51"/>
  <c r="D49" i="51"/>
  <c r="M48" i="51"/>
  <c r="G48" i="51"/>
  <c r="D48" i="51"/>
  <c r="C48" i="51"/>
  <c r="M47" i="51"/>
  <c r="G47" i="51"/>
  <c r="D47" i="51"/>
  <c r="M46" i="51"/>
  <c r="L46" i="51"/>
  <c r="J46" i="51"/>
  <c r="G46" i="51"/>
  <c r="D46" i="51"/>
  <c r="C46" i="51"/>
  <c r="M45" i="51"/>
  <c r="G45" i="51"/>
  <c r="D45" i="51"/>
  <c r="C41" i="51"/>
  <c r="C40" i="51"/>
  <c r="D39" i="51"/>
  <c r="C35" i="51"/>
  <c r="C34" i="51"/>
  <c r="G33" i="51"/>
  <c r="F33" i="51"/>
  <c r="C33" i="51"/>
  <c r="J30" i="51"/>
  <c r="D29" i="51"/>
  <c r="J28" i="51"/>
  <c r="C21" i="51"/>
  <c r="C20" i="51"/>
  <c r="G19" i="51"/>
  <c r="F19" i="51"/>
  <c r="C19" i="51"/>
  <c r="J17" i="51"/>
  <c r="D16" i="51"/>
  <c r="J15" i="51"/>
  <c r="C7" i="51"/>
  <c r="F6" i="51"/>
  <c r="D6" i="51"/>
  <c r="C6" i="51"/>
  <c r="E5" i="51"/>
  <c r="E4" i="51"/>
  <c r="C80" i="50"/>
  <c r="C79" i="50"/>
  <c r="C78" i="50"/>
  <c r="C77" i="50"/>
  <c r="C76" i="50"/>
  <c r="D73" i="50"/>
  <c r="C69" i="50"/>
  <c r="C68" i="50"/>
  <c r="D67" i="50"/>
  <c r="C63" i="50"/>
  <c r="C62" i="50"/>
  <c r="D61" i="50"/>
  <c r="M56" i="50"/>
  <c r="L56" i="50"/>
  <c r="J56" i="50"/>
  <c r="G56" i="50"/>
  <c r="F56" i="50"/>
  <c r="M55" i="50"/>
  <c r="J55" i="50"/>
  <c r="D55" i="50"/>
  <c r="M54" i="50"/>
  <c r="J54" i="50"/>
  <c r="D54" i="50"/>
  <c r="M53" i="50"/>
  <c r="J53" i="50"/>
  <c r="D53" i="50"/>
  <c r="M52" i="50"/>
  <c r="J52" i="50"/>
  <c r="D52" i="50"/>
  <c r="M51" i="50"/>
  <c r="J51" i="50"/>
  <c r="G51" i="50"/>
  <c r="D51" i="50"/>
  <c r="M50" i="50"/>
  <c r="G50" i="50"/>
  <c r="D50" i="50"/>
  <c r="M49" i="50"/>
  <c r="G49" i="50"/>
  <c r="D49" i="50"/>
  <c r="M48" i="50"/>
  <c r="L48" i="50"/>
  <c r="K48" i="50"/>
  <c r="J48" i="50"/>
  <c r="G48" i="50"/>
  <c r="D48" i="50"/>
  <c r="M47" i="50"/>
  <c r="G47" i="50"/>
  <c r="D47" i="50"/>
  <c r="C43" i="50"/>
  <c r="C42" i="50"/>
  <c r="D41" i="50"/>
  <c r="C37" i="50"/>
  <c r="C36" i="50"/>
  <c r="G35" i="50"/>
  <c r="F35" i="50"/>
  <c r="C35" i="50"/>
  <c r="J32" i="50"/>
  <c r="D31" i="50"/>
  <c r="J30" i="50"/>
  <c r="J29" i="50"/>
  <c r="C22" i="50"/>
  <c r="C21" i="50"/>
  <c r="G20" i="50"/>
  <c r="F20" i="50"/>
  <c r="C20" i="50"/>
  <c r="J18" i="50"/>
  <c r="D17" i="50"/>
  <c r="J16" i="50"/>
  <c r="J15" i="50"/>
  <c r="C7" i="50"/>
  <c r="F6" i="50"/>
  <c r="D6" i="50"/>
  <c r="C6" i="50"/>
  <c r="F5" i="50"/>
  <c r="E5" i="50"/>
  <c r="F4" i="50"/>
  <c r="E4" i="50"/>
  <c r="C79" i="49"/>
  <c r="C78" i="49"/>
  <c r="C77" i="49"/>
  <c r="C76" i="49"/>
  <c r="C75" i="49"/>
  <c r="C73" i="49"/>
  <c r="D72" i="49"/>
  <c r="C68" i="49"/>
  <c r="C67" i="49"/>
  <c r="D66" i="49"/>
  <c r="C62" i="49"/>
  <c r="C61" i="49"/>
  <c r="D60" i="49"/>
  <c r="C56" i="49"/>
  <c r="M55" i="49"/>
  <c r="L55" i="49"/>
  <c r="J55" i="49"/>
  <c r="G55" i="49"/>
  <c r="F55" i="49"/>
  <c r="C55" i="49"/>
  <c r="M54" i="49"/>
  <c r="J54" i="49"/>
  <c r="D54" i="49"/>
  <c r="M53" i="49"/>
  <c r="J53" i="49"/>
  <c r="D53" i="49"/>
  <c r="M52" i="49"/>
  <c r="J52" i="49"/>
  <c r="D52" i="49"/>
  <c r="M51" i="49"/>
  <c r="J51" i="49"/>
  <c r="G51" i="49"/>
  <c r="D51" i="49"/>
  <c r="M50" i="49"/>
  <c r="G50" i="49"/>
  <c r="D50" i="49"/>
  <c r="C50" i="49"/>
  <c r="M49" i="49"/>
  <c r="G49" i="49"/>
  <c r="D49" i="49"/>
  <c r="M48" i="49"/>
  <c r="L48" i="49"/>
  <c r="J48" i="49"/>
  <c r="G48" i="49"/>
  <c r="D48" i="49"/>
  <c r="C48" i="49"/>
  <c r="M47" i="49"/>
  <c r="G47" i="49"/>
  <c r="D47" i="49"/>
  <c r="C43" i="49"/>
  <c r="C42" i="49"/>
  <c r="D41" i="49"/>
  <c r="G35" i="49"/>
  <c r="F35" i="49"/>
  <c r="C35" i="49"/>
  <c r="J32" i="49"/>
  <c r="D31" i="49"/>
  <c r="J30" i="49"/>
  <c r="J29" i="49"/>
  <c r="G20" i="49"/>
  <c r="F20" i="49"/>
  <c r="C20" i="49"/>
  <c r="J18" i="49"/>
  <c r="D17" i="49"/>
  <c r="J16" i="49"/>
  <c r="J15" i="49"/>
  <c r="C7" i="49"/>
  <c r="F6" i="49"/>
  <c r="D6" i="49"/>
  <c r="C6" i="49"/>
  <c r="C78" i="48"/>
  <c r="C77" i="48"/>
  <c r="D71" i="48"/>
  <c r="C67" i="48"/>
  <c r="C66" i="48"/>
  <c r="D65" i="48"/>
  <c r="C61" i="48"/>
  <c r="C60" i="48"/>
  <c r="D59" i="48"/>
  <c r="M54" i="48"/>
  <c r="L54" i="48"/>
  <c r="J54" i="48"/>
  <c r="G54" i="48"/>
  <c r="F54" i="48"/>
  <c r="M53" i="48"/>
  <c r="J53" i="48"/>
  <c r="D53" i="48"/>
  <c r="M52" i="48"/>
  <c r="J52" i="48"/>
  <c r="D52" i="48"/>
  <c r="M51" i="48"/>
  <c r="J51" i="48"/>
  <c r="D51" i="48"/>
  <c r="M50" i="48"/>
  <c r="J50" i="48"/>
  <c r="D50" i="48"/>
  <c r="M49" i="48"/>
  <c r="J49" i="48"/>
  <c r="G49" i="48"/>
  <c r="D49" i="48"/>
  <c r="M48" i="48"/>
  <c r="G48" i="48"/>
  <c r="D48" i="48"/>
  <c r="M47" i="48"/>
  <c r="G47" i="48"/>
  <c r="D47" i="48"/>
  <c r="M46" i="48"/>
  <c r="L46" i="48"/>
  <c r="K46" i="48"/>
  <c r="J46" i="48"/>
  <c r="G46" i="48"/>
  <c r="D46" i="48"/>
  <c r="M45" i="48"/>
  <c r="G45" i="48"/>
  <c r="D45" i="48"/>
  <c r="C41" i="48"/>
  <c r="C40" i="48"/>
  <c r="D39" i="48"/>
  <c r="C35" i="48"/>
  <c r="C34" i="48"/>
  <c r="G33" i="48"/>
  <c r="F33" i="48"/>
  <c r="C33" i="48"/>
  <c r="J30" i="48"/>
  <c r="D29" i="48"/>
  <c r="J28" i="48"/>
  <c r="C21" i="48"/>
  <c r="C20" i="48"/>
  <c r="G19" i="48"/>
  <c r="F19" i="48"/>
  <c r="C19" i="48"/>
  <c r="J17" i="48"/>
  <c r="D16" i="48"/>
  <c r="J15" i="48"/>
  <c r="C7" i="48"/>
  <c r="F6" i="48"/>
  <c r="D6" i="48"/>
  <c r="C6" i="48"/>
  <c r="E5" i="48"/>
  <c r="E4" i="48"/>
  <c r="C78" i="47"/>
  <c r="C77" i="47"/>
  <c r="C76" i="47"/>
  <c r="C75" i="47"/>
  <c r="C74" i="47"/>
  <c r="D71" i="47"/>
  <c r="C67" i="47"/>
  <c r="C66" i="47"/>
  <c r="D65" i="47"/>
  <c r="C65" i="47"/>
  <c r="C61" i="47"/>
  <c r="C60" i="47"/>
  <c r="D59" i="47"/>
  <c r="M54" i="47"/>
  <c r="L54" i="47"/>
  <c r="J54" i="47"/>
  <c r="G54" i="47"/>
  <c r="F54" i="47"/>
  <c r="M53" i="47"/>
  <c r="J53" i="47"/>
  <c r="D53" i="47"/>
  <c r="M52" i="47"/>
  <c r="J52" i="47"/>
  <c r="D52" i="47"/>
  <c r="M51" i="47"/>
  <c r="J51" i="47"/>
  <c r="D51" i="47"/>
  <c r="M50" i="47"/>
  <c r="J50" i="47"/>
  <c r="D50" i="47"/>
  <c r="M49" i="47"/>
  <c r="J49" i="47"/>
  <c r="G49" i="47"/>
  <c r="D49" i="47"/>
  <c r="M48" i="47"/>
  <c r="G48" i="47"/>
  <c r="D48" i="47"/>
  <c r="M47" i="47"/>
  <c r="G47" i="47"/>
  <c r="D47" i="47"/>
  <c r="M46" i="47"/>
  <c r="L46" i="47"/>
  <c r="K46" i="47"/>
  <c r="J46" i="47"/>
  <c r="G46" i="47"/>
  <c r="D46" i="47"/>
  <c r="M45" i="47"/>
  <c r="G45" i="47"/>
  <c r="D45" i="47"/>
  <c r="C41" i="47"/>
  <c r="C40" i="47"/>
  <c r="D39" i="47"/>
  <c r="C35" i="47"/>
  <c r="C34" i="47"/>
  <c r="G33" i="47"/>
  <c r="F33" i="47"/>
  <c r="C33" i="47"/>
  <c r="J30" i="47"/>
  <c r="D29" i="47"/>
  <c r="J28" i="47"/>
  <c r="C21" i="47"/>
  <c r="C20" i="47"/>
  <c r="G19" i="47"/>
  <c r="F19" i="47"/>
  <c r="C19" i="47"/>
  <c r="J17" i="47"/>
  <c r="D16" i="47"/>
  <c r="J15" i="47"/>
  <c r="C7" i="47"/>
  <c r="F6" i="47"/>
  <c r="D6" i="47"/>
  <c r="C6" i="47"/>
  <c r="E5" i="47"/>
  <c r="E4" i="47"/>
  <c r="C80" i="46"/>
  <c r="C79" i="46"/>
  <c r="C78" i="46"/>
  <c r="C77" i="46"/>
  <c r="C76" i="46"/>
  <c r="D73" i="46"/>
  <c r="C69" i="46"/>
  <c r="C68" i="46"/>
  <c r="D67" i="46"/>
  <c r="C63" i="46"/>
  <c r="C62" i="46"/>
  <c r="D61" i="46"/>
  <c r="M56" i="46"/>
  <c r="L56" i="46"/>
  <c r="J56" i="46"/>
  <c r="G56" i="46"/>
  <c r="F56" i="46"/>
  <c r="M55" i="46"/>
  <c r="J55" i="46"/>
  <c r="D55" i="46"/>
  <c r="M54" i="46"/>
  <c r="J54" i="46"/>
  <c r="D54" i="46"/>
  <c r="M53" i="46"/>
  <c r="J53" i="46"/>
  <c r="D53" i="46"/>
  <c r="M52" i="46"/>
  <c r="J52" i="46"/>
  <c r="D52" i="46"/>
  <c r="M51" i="46"/>
  <c r="J51" i="46"/>
  <c r="G51" i="46"/>
  <c r="D51" i="46"/>
  <c r="M50" i="46"/>
  <c r="G50" i="46"/>
  <c r="D50" i="46"/>
  <c r="M49" i="46"/>
  <c r="G49" i="46"/>
  <c r="D49" i="46"/>
  <c r="M48" i="46"/>
  <c r="L48" i="46"/>
  <c r="K48" i="46"/>
  <c r="J48" i="46"/>
  <c r="G48" i="46"/>
  <c r="D48" i="46"/>
  <c r="M47" i="46"/>
  <c r="G47" i="46"/>
  <c r="D47" i="46"/>
  <c r="C43" i="46"/>
  <c r="C42" i="46"/>
  <c r="D41" i="46"/>
  <c r="C37" i="46"/>
  <c r="C36" i="46"/>
  <c r="G35" i="46"/>
  <c r="F35" i="46"/>
  <c r="C35" i="46"/>
  <c r="J32" i="46"/>
  <c r="D31" i="46"/>
  <c r="J30" i="46"/>
  <c r="J29" i="46"/>
  <c r="C22" i="46"/>
  <c r="C21" i="46"/>
  <c r="G20" i="46"/>
  <c r="F20" i="46"/>
  <c r="C20" i="46"/>
  <c r="J18" i="46"/>
  <c r="D17" i="46"/>
  <c r="J16" i="46"/>
  <c r="J15" i="46"/>
  <c r="C7" i="46"/>
  <c r="F6" i="46"/>
  <c r="D6" i="46" s="1"/>
  <c r="C6" i="46"/>
  <c r="F5" i="46"/>
  <c r="E5" i="46"/>
  <c r="F4" i="46"/>
  <c r="E4" i="46"/>
  <c r="C78" i="45"/>
  <c r="C77" i="45"/>
  <c r="C76" i="45"/>
  <c r="C75" i="45"/>
  <c r="C74" i="45"/>
  <c r="D71" i="45"/>
  <c r="C67" i="45"/>
  <c r="C66" i="45"/>
  <c r="D65" i="45"/>
  <c r="C61" i="45"/>
  <c r="C60" i="45"/>
  <c r="D59" i="45"/>
  <c r="M54" i="45"/>
  <c r="L54" i="45"/>
  <c r="J54" i="45"/>
  <c r="G54" i="45"/>
  <c r="F54" i="45"/>
  <c r="M53" i="45"/>
  <c r="J53" i="45"/>
  <c r="D53" i="45"/>
  <c r="M52" i="45"/>
  <c r="J52" i="45"/>
  <c r="D52" i="45"/>
  <c r="M51" i="45"/>
  <c r="J51" i="45"/>
  <c r="D51" i="45"/>
  <c r="M50" i="45"/>
  <c r="J50" i="45"/>
  <c r="D50" i="45"/>
  <c r="M49" i="45"/>
  <c r="J49" i="45"/>
  <c r="G49" i="45"/>
  <c r="D49" i="45"/>
  <c r="M48" i="45"/>
  <c r="G48" i="45"/>
  <c r="D48" i="45"/>
  <c r="M47" i="45"/>
  <c r="G47" i="45"/>
  <c r="D47" i="45"/>
  <c r="M46" i="45"/>
  <c r="L46" i="45"/>
  <c r="K46" i="45"/>
  <c r="J46" i="45"/>
  <c r="G46" i="45"/>
  <c r="D46" i="45"/>
  <c r="M45" i="45"/>
  <c r="G45" i="45"/>
  <c r="D45" i="45"/>
  <c r="C41" i="45"/>
  <c r="C40" i="45"/>
  <c r="D39" i="45"/>
  <c r="C35" i="45"/>
  <c r="C34" i="45"/>
  <c r="G33" i="45"/>
  <c r="F33" i="45"/>
  <c r="C33" i="45"/>
  <c r="J30" i="45"/>
  <c r="D29" i="45"/>
  <c r="J28" i="45"/>
  <c r="C21" i="45"/>
  <c r="C20" i="45"/>
  <c r="G19" i="45"/>
  <c r="F19" i="45"/>
  <c r="C19" i="45"/>
  <c r="J17" i="45"/>
  <c r="D16" i="45"/>
  <c r="J15" i="45"/>
  <c r="C7" i="45"/>
  <c r="F6" i="45"/>
  <c r="D6" i="45"/>
  <c r="C6" i="45"/>
  <c r="E5" i="45"/>
  <c r="E4" i="45"/>
  <c r="C80" i="44"/>
  <c r="C79" i="44"/>
  <c r="C78" i="44"/>
  <c r="C77" i="44"/>
  <c r="C76" i="44"/>
  <c r="D73" i="44"/>
  <c r="C69" i="44"/>
  <c r="C68" i="44"/>
  <c r="D67" i="44"/>
  <c r="C63" i="44"/>
  <c r="C62" i="44"/>
  <c r="D61" i="44"/>
  <c r="M56" i="44"/>
  <c r="L56" i="44"/>
  <c r="J56" i="44"/>
  <c r="G56" i="44"/>
  <c r="F56" i="44"/>
  <c r="M55" i="44"/>
  <c r="J55" i="44"/>
  <c r="D55" i="44"/>
  <c r="M54" i="44"/>
  <c r="J54" i="44"/>
  <c r="D54" i="44"/>
  <c r="M53" i="44"/>
  <c r="J53" i="44"/>
  <c r="D53" i="44"/>
  <c r="M52" i="44"/>
  <c r="J52" i="44"/>
  <c r="D52" i="44"/>
  <c r="M51" i="44"/>
  <c r="J51" i="44"/>
  <c r="G51" i="44"/>
  <c r="D51" i="44"/>
  <c r="M50" i="44"/>
  <c r="G50" i="44"/>
  <c r="D50" i="44"/>
  <c r="M49" i="44"/>
  <c r="G49" i="44"/>
  <c r="D49" i="44"/>
  <c r="M48" i="44"/>
  <c r="L48" i="44"/>
  <c r="K48" i="44"/>
  <c r="J48" i="44"/>
  <c r="G48" i="44"/>
  <c r="D48" i="44"/>
  <c r="M47" i="44"/>
  <c r="G47" i="44"/>
  <c r="D47" i="44"/>
  <c r="C43" i="44"/>
  <c r="C42" i="44"/>
  <c r="D41" i="44"/>
  <c r="C37" i="44"/>
  <c r="C36" i="44"/>
  <c r="G35" i="44"/>
  <c r="F35" i="44"/>
  <c r="C35" i="44"/>
  <c r="J32" i="44"/>
  <c r="D31" i="44"/>
  <c r="J30" i="44"/>
  <c r="J29" i="44"/>
  <c r="C22" i="44"/>
  <c r="C21" i="44"/>
  <c r="G20" i="44"/>
  <c r="F20" i="44"/>
  <c r="C20" i="44"/>
  <c r="J18" i="44"/>
  <c r="D17" i="44"/>
  <c r="J16" i="44"/>
  <c r="J15" i="44"/>
  <c r="C7" i="44"/>
  <c r="F6" i="44"/>
  <c r="D6" i="44"/>
  <c r="C6" i="44"/>
  <c r="F5" i="44"/>
  <c r="E5" i="44"/>
  <c r="F4" i="44"/>
  <c r="E4" i="44"/>
  <c r="C80" i="43"/>
  <c r="C79" i="43"/>
  <c r="C78" i="43"/>
  <c r="C77" i="43"/>
  <c r="C76" i="43"/>
  <c r="D73" i="43"/>
  <c r="C69" i="43"/>
  <c r="C68" i="43"/>
  <c r="D67" i="43"/>
  <c r="C63" i="43"/>
  <c r="C62" i="43"/>
  <c r="D61" i="43"/>
  <c r="M56" i="43"/>
  <c r="L56" i="43"/>
  <c r="J56" i="43"/>
  <c r="G56" i="43"/>
  <c r="F56" i="43"/>
  <c r="M55" i="43"/>
  <c r="J55" i="43"/>
  <c r="D55" i="43"/>
  <c r="M54" i="43"/>
  <c r="J54" i="43"/>
  <c r="D54" i="43"/>
  <c r="M53" i="43"/>
  <c r="J53" i="43"/>
  <c r="D53" i="43"/>
  <c r="M52" i="43"/>
  <c r="J52" i="43"/>
  <c r="D52" i="43"/>
  <c r="M51" i="43"/>
  <c r="J51" i="43"/>
  <c r="G51" i="43"/>
  <c r="D51" i="43"/>
  <c r="M50" i="43"/>
  <c r="G50" i="43"/>
  <c r="D50" i="43"/>
  <c r="M49" i="43"/>
  <c r="G49" i="43"/>
  <c r="D49" i="43"/>
  <c r="M48" i="43"/>
  <c r="L48" i="43"/>
  <c r="K48" i="43"/>
  <c r="J48" i="43"/>
  <c r="G48" i="43"/>
  <c r="D48" i="43"/>
  <c r="M47" i="43"/>
  <c r="G47" i="43"/>
  <c r="D47" i="43"/>
  <c r="C43" i="43"/>
  <c r="C42" i="43"/>
  <c r="D41" i="43"/>
  <c r="C37" i="43"/>
  <c r="C36" i="43"/>
  <c r="G35" i="43"/>
  <c r="F35" i="43"/>
  <c r="C35" i="43"/>
  <c r="J32" i="43"/>
  <c r="D31" i="43"/>
  <c r="J30" i="43"/>
  <c r="J29" i="43"/>
  <c r="C22" i="43"/>
  <c r="C21" i="43"/>
  <c r="G20" i="43"/>
  <c r="F20" i="43"/>
  <c r="C20" i="43"/>
  <c r="J18" i="43"/>
  <c r="D17" i="43"/>
  <c r="J16" i="43"/>
  <c r="J15" i="43"/>
  <c r="C7" i="43"/>
  <c r="F6" i="43"/>
  <c r="D6" i="43"/>
  <c r="C6" i="43"/>
  <c r="F5" i="43"/>
  <c r="E5" i="43"/>
  <c r="F4" i="43"/>
  <c r="E4" i="43"/>
  <c r="C80" i="42"/>
  <c r="C79" i="42"/>
  <c r="C78" i="42"/>
  <c r="C77" i="42"/>
  <c r="C76" i="42"/>
  <c r="D73" i="42"/>
  <c r="C69" i="42"/>
  <c r="C68" i="42"/>
  <c r="D67" i="42"/>
  <c r="C63" i="42"/>
  <c r="C62" i="42"/>
  <c r="D61" i="42"/>
  <c r="M56" i="42"/>
  <c r="L56" i="42"/>
  <c r="J56" i="42"/>
  <c r="G56" i="42"/>
  <c r="F56" i="42"/>
  <c r="M55" i="42"/>
  <c r="J55" i="42"/>
  <c r="D55" i="42"/>
  <c r="M54" i="42"/>
  <c r="J54" i="42"/>
  <c r="D54" i="42"/>
  <c r="M53" i="42"/>
  <c r="J53" i="42"/>
  <c r="D53" i="42"/>
  <c r="M52" i="42"/>
  <c r="J52" i="42"/>
  <c r="D52" i="42"/>
  <c r="M51" i="42"/>
  <c r="J51" i="42"/>
  <c r="G51" i="42"/>
  <c r="D51" i="42"/>
  <c r="M50" i="42"/>
  <c r="G50" i="42"/>
  <c r="D50" i="42"/>
  <c r="M49" i="42"/>
  <c r="G49" i="42"/>
  <c r="D49" i="42"/>
  <c r="M48" i="42"/>
  <c r="L48" i="42"/>
  <c r="K48" i="42"/>
  <c r="J48" i="42"/>
  <c r="G48" i="42"/>
  <c r="D48" i="42"/>
  <c r="M47" i="42"/>
  <c r="G47" i="42"/>
  <c r="D47" i="42"/>
  <c r="C43" i="42"/>
  <c r="C42" i="42"/>
  <c r="D41" i="42"/>
  <c r="C37" i="42"/>
  <c r="C36" i="42"/>
  <c r="G35" i="42"/>
  <c r="F35" i="42"/>
  <c r="C35" i="42"/>
  <c r="J32" i="42"/>
  <c r="D31" i="42"/>
  <c r="J30" i="42"/>
  <c r="J29" i="42"/>
  <c r="C22" i="42"/>
  <c r="C21" i="42"/>
  <c r="G20" i="42"/>
  <c r="F20" i="42"/>
  <c r="C20" i="42"/>
  <c r="J18" i="42"/>
  <c r="D17" i="42"/>
  <c r="J16" i="42"/>
  <c r="J15" i="42"/>
  <c r="C7" i="42"/>
  <c r="F6" i="42"/>
  <c r="D6" i="42"/>
  <c r="C6" i="42"/>
  <c r="F5" i="42"/>
  <c r="E5" i="42"/>
  <c r="F4" i="42"/>
  <c r="E4" i="42"/>
</calcChain>
</file>

<file path=xl/sharedStrings.xml><?xml version="1.0" encoding="utf-8"?>
<sst xmlns="http://schemas.openxmlformats.org/spreadsheetml/2006/main" count="2085" uniqueCount="96">
  <si>
    <t>Labor Time(s/pcs)</t>
  </si>
  <si>
    <t>Machine Time(s/pcs)</t>
  </si>
  <si>
    <t>ICT</t>
  </si>
  <si>
    <r>
      <rPr>
        <sz val="11"/>
        <color theme="1"/>
        <rFont val="宋体"/>
        <family val="3"/>
        <charset val="134"/>
      </rPr>
      <t>金</t>
    </r>
    <r>
      <rPr>
        <sz val="12"/>
        <rFont val="Calibri"/>
        <family val="2"/>
      </rPr>
      <t xml:space="preserve"> Labor time(s/pcs)</t>
    </r>
  </si>
  <si>
    <t>B    Labor time(s/pcs)</t>
  </si>
  <si>
    <t>T     Labor time(s/pcs)</t>
  </si>
  <si>
    <t>D    Labor time(s/pcs)</t>
  </si>
  <si>
    <t>R    Labor time(s/pcs)</t>
  </si>
  <si>
    <t>5D    Labor time(s/pcs)</t>
  </si>
  <si>
    <t>P    Labor time(s/pcs)</t>
  </si>
  <si>
    <t>TE    Labor time(s/pcs)</t>
  </si>
  <si>
    <t>FCT</t>
  </si>
  <si>
    <t>Work Time Calculation</t>
  </si>
  <si>
    <t>Project name</t>
  </si>
  <si>
    <t>2U.2</t>
  </si>
  <si>
    <t>Component</t>
  </si>
  <si>
    <t>Panel Qty</t>
  </si>
  <si>
    <t>Panel Size</t>
  </si>
  <si>
    <t>High-Speed</t>
  </si>
  <si>
    <t>General-Speed</t>
  </si>
  <si>
    <t>ict</t>
  </si>
  <si>
    <t>Bottom Side</t>
  </si>
  <si>
    <t>Station</t>
  </si>
  <si>
    <t>Labor time
(s/panel)</t>
  </si>
  <si>
    <t>Machine time
(s/panel)</t>
  </si>
  <si>
    <t>Machine 
Q'TY</t>
  </si>
  <si>
    <t>H.C</t>
  </si>
  <si>
    <t>CPH%</t>
  </si>
  <si>
    <r>
      <rPr>
        <sz val="12"/>
        <rFont val="宋体"/>
        <family val="3"/>
        <charset val="134"/>
      </rPr>
      <t>贴</t>
    </r>
    <r>
      <rPr>
        <sz val="12"/>
        <rFont val="Microsoft JhengHei"/>
        <family val="2"/>
        <charset val="136"/>
      </rPr>
      <t>片速度</t>
    </r>
    <r>
      <rPr>
        <sz val="12"/>
        <rFont val="Calibri"/>
        <family val="2"/>
      </rPr>
      <t>/s</t>
    </r>
  </si>
  <si>
    <r>
      <rPr>
        <sz val="12"/>
        <rFont val="Microsoft JhengHei"/>
        <family val="2"/>
        <charset val="136"/>
      </rPr>
      <t>零件</t>
    </r>
    <r>
      <rPr>
        <sz val="12"/>
        <rFont val="宋体"/>
        <family val="3"/>
        <charset val="134"/>
      </rPr>
      <t>数</t>
    </r>
  </si>
  <si>
    <r>
      <rPr>
        <sz val="12"/>
        <rFont val="宋体"/>
        <family val="3"/>
        <charset val="134"/>
      </rPr>
      <t>传</t>
    </r>
    <r>
      <rPr>
        <sz val="12"/>
        <rFont val="Microsoft JhengHei"/>
        <family val="2"/>
        <charset val="136"/>
      </rPr>
      <t>板</t>
    </r>
    <r>
      <rPr>
        <sz val="12"/>
        <rFont val="宋体"/>
        <family val="3"/>
        <charset val="134"/>
      </rPr>
      <t>时间</t>
    </r>
    <r>
      <rPr>
        <sz val="12"/>
        <rFont val="Calibri"/>
        <family val="2"/>
      </rPr>
      <t>/s</t>
    </r>
  </si>
  <si>
    <r>
      <rPr>
        <sz val="12"/>
        <rFont val="Microsoft JhengHei"/>
        <family val="2"/>
        <charset val="136"/>
      </rPr>
      <t>分配比例</t>
    </r>
  </si>
  <si>
    <t>Label&amp;Load Carrier</t>
  </si>
  <si>
    <t>DEK</t>
  </si>
  <si>
    <t>SPI</t>
  </si>
  <si>
    <t>X4S (H1)</t>
  </si>
  <si>
    <t>X4S (G1)</t>
  </si>
  <si>
    <t>IR</t>
  </si>
  <si>
    <t>AOI</t>
  </si>
  <si>
    <t>Line Balance(%)</t>
  </si>
  <si>
    <t>Inspection after reflow</t>
  </si>
  <si>
    <t>Bottle neck</t>
  </si>
  <si>
    <t>Machine time(s/pcs)</t>
  </si>
  <si>
    <t>Top Side</t>
  </si>
  <si>
    <t>X4iS (H1)</t>
  </si>
  <si>
    <t>X4S (H2)</t>
  </si>
  <si>
    <t>AOI check</t>
  </si>
  <si>
    <t>Routing</t>
  </si>
  <si>
    <t>Labor time
(s/pcs)</t>
  </si>
  <si>
    <t>Machine time
(s/pcs)</t>
  </si>
  <si>
    <t>DIP</t>
  </si>
  <si>
    <t>Process Time
(s/pcs)</t>
  </si>
  <si>
    <t>Balance Time
(s/pcs)</t>
  </si>
  <si>
    <r>
      <rPr>
        <sz val="15"/>
        <rFont val="Microsoft JhengHei"/>
        <family val="2"/>
        <charset val="136"/>
      </rPr>
      <t>理想人力</t>
    </r>
  </si>
  <si>
    <r>
      <rPr>
        <sz val="15"/>
        <rFont val="Microsoft JhengHei"/>
        <family val="2"/>
        <charset val="136"/>
      </rPr>
      <t>零件</t>
    </r>
    <r>
      <rPr>
        <sz val="15"/>
        <rFont val="等线"/>
        <family val="3"/>
        <charset val="134"/>
      </rPr>
      <t>数</t>
    </r>
  </si>
  <si>
    <r>
      <rPr>
        <sz val="15"/>
        <rFont val="等线"/>
        <family val="3"/>
        <charset val="134"/>
      </rPr>
      <t>线</t>
    </r>
    <r>
      <rPr>
        <sz val="15"/>
        <rFont val="Microsoft JhengHei"/>
        <family val="2"/>
        <charset val="136"/>
      </rPr>
      <t>体承</t>
    </r>
    <r>
      <rPr>
        <sz val="15"/>
        <rFont val="等线"/>
        <family val="3"/>
        <charset val="134"/>
      </rPr>
      <t>载</t>
    </r>
    <r>
      <rPr>
        <sz val="15"/>
        <rFont val="Microsoft JhengHei"/>
        <family val="2"/>
        <charset val="136"/>
      </rPr>
      <t>能力</t>
    </r>
  </si>
  <si>
    <r>
      <rPr>
        <sz val="15"/>
        <rFont val="Microsoft JhengHei"/>
        <family val="2"/>
        <charset val="136"/>
      </rPr>
      <t>平衡工</t>
    </r>
    <r>
      <rPr>
        <sz val="15"/>
        <rFont val="等线"/>
        <family val="3"/>
        <charset val="134"/>
      </rPr>
      <t>时</t>
    </r>
  </si>
  <si>
    <r>
      <rPr>
        <sz val="15"/>
        <rFont val="Calibri"/>
        <family val="2"/>
      </rPr>
      <t>T/B</t>
    </r>
    <r>
      <rPr>
        <sz val="15"/>
        <rFont val="Microsoft JhengHei"/>
        <family val="2"/>
        <charset val="136"/>
      </rPr>
      <t>分配比例</t>
    </r>
  </si>
  <si>
    <r>
      <rPr>
        <sz val="12"/>
        <rFont val="Times"/>
        <family val="1"/>
      </rPr>
      <t>贴</t>
    </r>
    <r>
      <rPr>
        <sz val="12"/>
        <rFont val="Calibri"/>
        <family val="2"/>
      </rPr>
      <t>Carrier</t>
    </r>
  </si>
  <si>
    <t>Operater QTY</t>
  </si>
  <si>
    <r>
      <rPr>
        <sz val="12"/>
        <rFont val="Microsoft JhengHei"/>
        <family val="2"/>
        <charset val="136"/>
      </rPr>
      <t>手插件</t>
    </r>
  </si>
  <si>
    <t>炉前总检</t>
  </si>
  <si>
    <r>
      <rPr>
        <sz val="12"/>
        <rFont val="Times"/>
        <family val="1"/>
      </rPr>
      <t>过炉</t>
    </r>
  </si>
  <si>
    <r>
      <rPr>
        <sz val="12"/>
        <rFont val="Microsoft JhengHei"/>
        <family val="2"/>
        <charset val="136"/>
      </rPr>
      <t>卸</t>
    </r>
    <r>
      <rPr>
        <sz val="12"/>
        <rFont val="Calibri"/>
        <family val="2"/>
      </rPr>
      <t>carrier</t>
    </r>
  </si>
  <si>
    <t>Touch Up</t>
  </si>
  <si>
    <t>Clean</t>
  </si>
  <si>
    <t>Lebal</t>
  </si>
  <si>
    <r>
      <rPr>
        <sz val="12"/>
        <rFont val="Times"/>
        <family val="1"/>
      </rPr>
      <t>总检</t>
    </r>
  </si>
  <si>
    <t>Total Operater</t>
  </si>
  <si>
    <t>5DX-Ray</t>
  </si>
  <si>
    <t>压合</t>
  </si>
  <si>
    <t>TEST</t>
  </si>
  <si>
    <t>SASM</t>
  </si>
  <si>
    <t>AVI</t>
  </si>
  <si>
    <t>INSP</t>
  </si>
  <si>
    <t>PACK</t>
  </si>
  <si>
    <t>EAR-Riser</t>
  </si>
  <si>
    <t>CPLD brd</t>
  </si>
  <si>
    <r>
      <rPr>
        <sz val="12"/>
        <color rgb="FF000000"/>
        <rFont val="Calibri"/>
        <family val="2"/>
      </rPr>
      <t xml:space="preserve">HBA-RISER </t>
    </r>
    <r>
      <rPr>
        <sz val="12"/>
        <color rgb="FF000000"/>
        <rFont val="微软雅黑"/>
        <family val="2"/>
        <charset val="134"/>
      </rPr>
      <t>焊线板</t>
    </r>
  </si>
  <si>
    <t>05-PDB-RISER</t>
  </si>
  <si>
    <t>06-PSU-PDB</t>
  </si>
  <si>
    <r>
      <rPr>
        <b/>
        <sz val="12"/>
        <color indexed="8"/>
        <rFont val="Calibri"/>
        <family val="2"/>
      </rPr>
      <t>PDB</t>
    </r>
    <r>
      <rPr>
        <b/>
        <sz val="12"/>
        <color rgb="FF000000"/>
        <rFont val="微软雅黑"/>
        <family val="2"/>
        <charset val="134"/>
      </rPr>
      <t>模组</t>
    </r>
  </si>
  <si>
    <t xml:space="preserve"> </t>
  </si>
  <si>
    <t>3X8056-FAN</t>
  </si>
  <si>
    <t>IO</t>
  </si>
  <si>
    <t>Yinshan riser</t>
  </si>
  <si>
    <r>
      <rPr>
        <b/>
        <sz val="12"/>
        <color indexed="8"/>
        <rFont val="Calibri"/>
        <family val="2"/>
      </rPr>
      <t>7-8056_5</t>
    </r>
    <r>
      <rPr>
        <b/>
        <sz val="12"/>
        <color rgb="FF000000"/>
        <rFont val="微软雅黑"/>
        <family val="2"/>
        <charset val="134"/>
      </rPr>
      <t>风扇板</t>
    </r>
  </si>
  <si>
    <t>金手指</t>
  </si>
  <si>
    <t>3-15BP</t>
  </si>
  <si>
    <r>
      <rPr>
        <b/>
        <sz val="12"/>
        <color indexed="8"/>
        <rFont val="Calibri"/>
        <family val="2"/>
      </rPr>
      <t>2-Carrier</t>
    </r>
    <r>
      <rPr>
        <b/>
        <sz val="12"/>
        <color rgb="FF000000"/>
        <rFont val="微软雅黑"/>
        <family val="2"/>
        <charset val="134"/>
      </rPr>
      <t>板</t>
    </r>
  </si>
  <si>
    <t>插件机</t>
  </si>
  <si>
    <t>B    Labor time(s/pcs)</t>
    <phoneticPr fontId="31" type="noConversion"/>
  </si>
  <si>
    <t>T     Labor time(s/pcs)</t>
    <phoneticPr fontId="31" type="noConversion"/>
  </si>
  <si>
    <t>D    Labor time(s/pcs)</t>
    <phoneticPr fontId="31" type="noConversion"/>
  </si>
  <si>
    <t>SASM</t>
    <phoneticPr fontId="31" type="noConversion"/>
  </si>
  <si>
    <t>AVI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</si>
</sst>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_);[Red]\(0\)"/>
    <numFmt numFmtId="177" formatCode="0.000"/>
    <numFmt numFmtId="178" formatCode="0.00_ "/>
    <numFmt numFmtId="179" formatCode="0.00_);[Red]\(0.00\)"/>
    <numFmt numFmtId="180" formatCode="0.0000"/>
    <numFmt numFmtId="181" formatCode="0_ "/>
    <numFmt numFmtId="182" formatCode="0.0%"/>
    <numFmt numFmtId="183" formatCode="0.000_);[Red]\(0.000\)"/>
  </numFmts>
  <fonts count="32" x14ac:knownFonts="1">
    <font>
      <sz val="11"/>
      <color theme="1"/>
      <name val="等线"/>
      <charset val="134"/>
      <scheme val="minor"/>
    </font>
    <font>
      <b/>
      <sz val="12"/>
      <name val="Calibri"/>
      <family val="2"/>
    </font>
    <font>
      <sz val="15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name val="Calibri"/>
      <family val="2"/>
    </font>
    <font>
      <sz val="12"/>
      <color indexed="10"/>
      <name val="Calibri"/>
      <family val="2"/>
    </font>
    <font>
      <sz val="12"/>
      <color theme="1"/>
      <name val="Calibri"/>
      <family val="2"/>
    </font>
    <font>
      <b/>
      <sz val="12"/>
      <color rgb="FF00B050"/>
      <name val="Calibri"/>
      <family val="2"/>
    </font>
    <font>
      <b/>
      <sz val="15"/>
      <name val="Calibri"/>
      <family val="2"/>
    </font>
    <font>
      <b/>
      <sz val="14"/>
      <name val="Calibri"/>
      <family val="2"/>
    </font>
    <font>
      <sz val="12"/>
      <name val="微软雅黑"/>
      <family val="2"/>
      <charset val="134"/>
    </font>
    <font>
      <sz val="12"/>
      <name val="Calibri"/>
      <family val="2"/>
    </font>
    <font>
      <sz val="15"/>
      <color rgb="FFFF0000"/>
      <name val="Calibri"/>
      <family val="2"/>
    </font>
    <font>
      <b/>
      <sz val="12"/>
      <name val="微软雅黑"/>
      <family val="2"/>
      <charset val="134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name val="新細明體"/>
      <charset val="136"/>
    </font>
    <font>
      <sz val="10"/>
      <name val="Arial"/>
      <family val="2"/>
    </font>
    <font>
      <sz val="12"/>
      <name val="宋体"/>
      <family val="3"/>
      <charset val="134"/>
    </font>
    <font>
      <sz val="11"/>
      <color theme="1"/>
      <name val="Arial"/>
      <family val="2"/>
    </font>
    <font>
      <sz val="12"/>
      <name val="Microsoft JhengHei"/>
      <family val="2"/>
      <charset val="136"/>
    </font>
    <font>
      <b/>
      <sz val="12"/>
      <color rgb="FF000000"/>
      <name val="微软雅黑"/>
      <family val="2"/>
      <charset val="134"/>
    </font>
    <font>
      <sz val="12"/>
      <name val="Times"/>
      <family val="1"/>
    </font>
    <font>
      <sz val="11"/>
      <color theme="1"/>
      <name val="宋体"/>
      <family val="3"/>
      <charset val="134"/>
    </font>
    <font>
      <sz val="15"/>
      <name val="Microsoft JhengHei"/>
      <family val="2"/>
      <charset val="136"/>
    </font>
    <font>
      <sz val="15"/>
      <name val="等线"/>
      <family val="3"/>
      <charset val="134"/>
    </font>
    <font>
      <sz val="12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8FF0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9" fontId="20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22" fillId="0" borderId="0"/>
    <xf numFmtId="0" fontId="23" fillId="0" borderId="0">
      <alignment vertical="center"/>
    </xf>
    <xf numFmtId="0" fontId="20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</cellStyleXfs>
  <cellXfs count="127">
    <xf numFmtId="0" fontId="0" fillId="0" borderId="0" xfId="0"/>
    <xf numFmtId="0" fontId="1" fillId="0" borderId="0" xfId="8" applyFont="1" applyAlignment="1">
      <alignment horizontal="center" vertical="center"/>
    </xf>
    <xf numFmtId="0" fontId="2" fillId="0" borderId="0" xfId="8" applyFont="1" applyAlignment="1">
      <alignment horizontal="center" vertical="center"/>
    </xf>
    <xf numFmtId="0" fontId="3" fillId="0" borderId="0" xfId="8" applyFont="1" applyAlignment="1">
      <alignment horizontal="center" vertical="center"/>
    </xf>
    <xf numFmtId="176" fontId="3" fillId="0" borderId="0" xfId="8" applyNumberFormat="1" applyFont="1" applyAlignment="1">
      <alignment horizontal="center" vertical="center"/>
    </xf>
    <xf numFmtId="0" fontId="1" fillId="0" borderId="0" xfId="8" applyFont="1" applyBorder="1" applyAlignment="1">
      <alignment horizontal="center" vertical="center"/>
    </xf>
    <xf numFmtId="0" fontId="3" fillId="0" borderId="0" xfId="8" applyFont="1" applyBorder="1" applyAlignment="1">
      <alignment horizontal="center" vertical="center" wrapText="1"/>
    </xf>
    <xf numFmtId="0" fontId="1" fillId="2" borderId="2" xfId="7" applyNumberFormat="1" applyFont="1" applyFill="1" applyBorder="1" applyAlignment="1">
      <alignment horizontal="center" vertical="center"/>
    </xf>
    <xf numFmtId="0" fontId="3" fillId="0" borderId="0" xfId="8" applyFont="1" applyBorder="1" applyAlignment="1">
      <alignment horizontal="center" vertical="center"/>
    </xf>
    <xf numFmtId="0" fontId="3" fillId="0" borderId="4" xfId="7" applyNumberFormat="1" applyFont="1" applyFill="1" applyBorder="1" applyAlignment="1">
      <alignment horizontal="center" vertical="center"/>
    </xf>
    <xf numFmtId="1" fontId="3" fillId="0" borderId="0" xfId="6" applyNumberFormat="1" applyFont="1" applyFill="1" applyAlignment="1">
      <alignment vertical="center"/>
    </xf>
    <xf numFmtId="0" fontId="1" fillId="2" borderId="5" xfId="7" applyNumberFormat="1" applyFont="1" applyFill="1" applyBorder="1" applyAlignment="1">
      <alignment horizontal="center" vertical="center"/>
    </xf>
    <xf numFmtId="176" fontId="6" fillId="3" borderId="2" xfId="3" applyNumberFormat="1" applyFont="1" applyFill="1" applyBorder="1" applyAlignment="1">
      <alignment horizontal="center"/>
    </xf>
    <xf numFmtId="0" fontId="1" fillId="4" borderId="2" xfId="7" applyNumberFormat="1" applyFont="1" applyFill="1" applyBorder="1" applyAlignment="1">
      <alignment horizontal="center" vertical="center"/>
    </xf>
    <xf numFmtId="2" fontId="1" fillId="0" borderId="2" xfId="3" applyNumberFormat="1" applyFont="1" applyFill="1" applyBorder="1" applyAlignment="1">
      <alignment horizontal="center"/>
    </xf>
    <xf numFmtId="0" fontId="7" fillId="0" borderId="0" xfId="3" applyFont="1" applyFill="1" applyBorder="1" applyAlignment="1">
      <alignment horizontal="center"/>
    </xf>
    <xf numFmtId="178" fontId="8" fillId="0" borderId="0" xfId="10" applyNumberFormat="1" applyFont="1" applyFill="1" applyBorder="1" applyAlignment="1">
      <alignment horizontal="center"/>
    </xf>
    <xf numFmtId="0" fontId="8" fillId="0" borderId="0" xfId="10" applyFont="1" applyFill="1" applyBorder="1" applyAlignment="1">
      <alignment horizontal="center"/>
    </xf>
    <xf numFmtId="176" fontId="3" fillId="0" borderId="0" xfId="10" applyNumberFormat="1" applyFont="1" applyBorder="1" applyAlignment="1">
      <alignment horizontal="center"/>
    </xf>
    <xf numFmtId="0" fontId="3" fillId="0" borderId="0" xfId="10" applyFont="1" applyBorder="1" applyAlignment="1">
      <alignment horizontal="center"/>
    </xf>
    <xf numFmtId="178" fontId="3" fillId="0" borderId="0" xfId="10" applyNumberFormat="1" applyFont="1" applyBorder="1" applyAlignment="1">
      <alignment horizontal="center"/>
    </xf>
    <xf numFmtId="0" fontId="9" fillId="0" borderId="0" xfId="3" applyFont="1" applyBorder="1" applyAlignment="1">
      <alignment vertical="center" wrapText="1"/>
    </xf>
    <xf numFmtId="0" fontId="1" fillId="0" borderId="0" xfId="10" applyFont="1" applyBorder="1" applyAlignment="1">
      <alignment horizontal="left"/>
    </xf>
    <xf numFmtId="0" fontId="3" fillId="0" borderId="0" xfId="10" applyFont="1" applyAlignment="1">
      <alignment horizontal="center"/>
    </xf>
    <xf numFmtId="176" fontId="3" fillId="0" borderId="0" xfId="10" applyNumberFormat="1" applyFont="1" applyAlignment="1">
      <alignment horizontal="center"/>
    </xf>
    <xf numFmtId="0" fontId="1" fillId="2" borderId="2" xfId="7" applyNumberFormat="1" applyFont="1" applyFill="1" applyBorder="1" applyAlignment="1">
      <alignment horizontal="center" vertical="center" wrapText="1"/>
    </xf>
    <xf numFmtId="0" fontId="1" fillId="5" borderId="2" xfId="3" applyFont="1" applyFill="1" applyBorder="1" applyAlignment="1">
      <alignment horizontal="center" vertical="center" wrapText="1"/>
    </xf>
    <xf numFmtId="0" fontId="1" fillId="5" borderId="2" xfId="3" applyFont="1" applyFill="1" applyBorder="1" applyAlignment="1">
      <alignment horizontal="center" vertical="center"/>
    </xf>
    <xf numFmtId="179" fontId="3" fillId="6" borderId="2" xfId="10" applyNumberFormat="1" applyFont="1" applyFill="1" applyBorder="1" applyAlignment="1">
      <alignment horizontal="center" vertical="center"/>
    </xf>
    <xf numFmtId="179" fontId="3" fillId="0" borderId="2" xfId="10" applyNumberFormat="1" applyFont="1" applyFill="1" applyBorder="1" applyAlignment="1">
      <alignment horizontal="center" vertical="center"/>
    </xf>
    <xf numFmtId="179" fontId="3" fillId="0" borderId="2" xfId="10" applyNumberFormat="1" applyFont="1" applyBorder="1" applyAlignment="1">
      <alignment horizontal="center" vertical="center"/>
    </xf>
    <xf numFmtId="0" fontId="3" fillId="0" borderId="2" xfId="8" applyFont="1" applyBorder="1" applyAlignment="1">
      <alignment horizontal="center" vertical="center"/>
    </xf>
    <xf numFmtId="176" fontId="3" fillId="2" borderId="2" xfId="8" applyNumberFormat="1" applyFont="1" applyFill="1" applyBorder="1" applyAlignment="1">
      <alignment horizontal="center" vertical="center"/>
    </xf>
    <xf numFmtId="179" fontId="10" fillId="0" borderId="2" xfId="10" applyNumberFormat="1" applyFont="1" applyBorder="1" applyAlignment="1">
      <alignment horizontal="center" vertical="center"/>
    </xf>
    <xf numFmtId="179" fontId="3" fillId="0" borderId="0" xfId="10" applyNumberFormat="1" applyFont="1" applyBorder="1" applyAlignment="1">
      <alignment horizontal="center" vertical="center"/>
    </xf>
    <xf numFmtId="0" fontId="3" fillId="0" borderId="2" xfId="10" applyFont="1" applyBorder="1" applyAlignment="1">
      <alignment horizontal="center"/>
    </xf>
    <xf numFmtId="176" fontId="3" fillId="2" borderId="2" xfId="10" applyNumberFormat="1" applyFont="1" applyFill="1" applyBorder="1" applyAlignment="1">
      <alignment horizontal="center"/>
    </xf>
    <xf numFmtId="179" fontId="3" fillId="7" borderId="2" xfId="10" applyNumberFormat="1" applyFont="1" applyFill="1" applyBorder="1" applyAlignment="1">
      <alignment horizontal="center" vertical="center"/>
    </xf>
    <xf numFmtId="179" fontId="11" fillId="0" borderId="0" xfId="10" applyNumberFormat="1" applyFont="1" applyFill="1" applyBorder="1" applyAlignment="1">
      <alignment horizontal="center" vertical="center"/>
    </xf>
    <xf numFmtId="176" fontId="3" fillId="0" borderId="2" xfId="8" applyNumberFormat="1" applyFont="1" applyBorder="1" applyAlignment="1">
      <alignment horizontal="center" vertical="center"/>
    </xf>
    <xf numFmtId="180" fontId="3" fillId="0" borderId="0" xfId="10" applyNumberFormat="1" applyFont="1" applyBorder="1" applyAlignment="1">
      <alignment horizontal="center"/>
    </xf>
    <xf numFmtId="179" fontId="8" fillId="4" borderId="2" xfId="10" applyNumberFormat="1" applyFont="1" applyFill="1" applyBorder="1" applyAlignment="1">
      <alignment horizontal="center" vertical="center"/>
    </xf>
    <xf numFmtId="179" fontId="1" fillId="0" borderId="0" xfId="10" applyNumberFormat="1" applyFont="1" applyFill="1" applyBorder="1" applyAlignment="1">
      <alignment horizontal="center" vertical="center"/>
    </xf>
    <xf numFmtId="0" fontId="3" fillId="0" borderId="0" xfId="10" applyFont="1" applyBorder="1" applyAlignment="1"/>
    <xf numFmtId="179" fontId="3" fillId="4" borderId="2" xfId="10" applyNumberFormat="1" applyFont="1" applyFill="1" applyBorder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12" fillId="0" borderId="0" xfId="6" applyFont="1" applyAlignment="1">
      <alignment horizontal="left"/>
    </xf>
    <xf numFmtId="0" fontId="2" fillId="0" borderId="0" xfId="6" applyFont="1" applyAlignment="1">
      <alignment horizontal="left"/>
    </xf>
    <xf numFmtId="0" fontId="2" fillId="0" borderId="0" xfId="6" applyFont="1" applyAlignment="1">
      <alignment horizontal="center"/>
    </xf>
    <xf numFmtId="176" fontId="2" fillId="0" borderId="0" xfId="6" applyNumberFormat="1" applyFont="1" applyAlignment="1">
      <alignment horizontal="center"/>
    </xf>
    <xf numFmtId="0" fontId="13" fillId="5" borderId="2" xfId="3" applyFont="1" applyFill="1" applyBorder="1" applyAlignment="1">
      <alignment horizontal="center" vertical="center" wrapText="1"/>
    </xf>
    <xf numFmtId="0" fontId="13" fillId="5" borderId="2" xfId="3" applyFont="1" applyFill="1" applyBorder="1" applyAlignment="1">
      <alignment horizontal="center" vertical="center"/>
    </xf>
    <xf numFmtId="176" fontId="2" fillId="0" borderId="0" xfId="8" applyNumberFormat="1" applyFont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176" fontId="2" fillId="0" borderId="2" xfId="8" applyNumberFormat="1" applyFont="1" applyBorder="1" applyAlignment="1">
      <alignment horizontal="center" vertical="center"/>
    </xf>
    <xf numFmtId="179" fontId="14" fillId="6" borderId="2" xfId="10" applyNumberFormat="1" applyFont="1" applyFill="1" applyBorder="1" applyAlignment="1">
      <alignment horizontal="center" vertical="center"/>
    </xf>
    <xf numFmtId="179" fontId="15" fillId="6" borderId="2" xfId="10" applyNumberFormat="1" applyFont="1" applyFill="1" applyBorder="1" applyAlignment="1">
      <alignment horizontal="center" vertical="center"/>
    </xf>
    <xf numFmtId="0" fontId="16" fillId="0" borderId="0" xfId="8" applyFont="1" applyAlignment="1">
      <alignment horizontal="left" vertical="center"/>
    </xf>
    <xf numFmtId="179" fontId="2" fillId="8" borderId="2" xfId="10" applyNumberFormat="1" applyFont="1" applyFill="1" applyBorder="1" applyAlignment="1">
      <alignment horizontal="center" vertical="center"/>
    </xf>
    <xf numFmtId="0" fontId="2" fillId="0" borderId="0" xfId="6" applyFont="1" applyFill="1" applyBorder="1" applyAlignment="1">
      <alignment horizontal="center"/>
    </xf>
    <xf numFmtId="0" fontId="2" fillId="0" borderId="0" xfId="6" applyFont="1" applyFill="1" applyAlignment="1">
      <alignment horizontal="center"/>
    </xf>
    <xf numFmtId="176" fontId="2" fillId="0" borderId="0" xfId="6" applyNumberFormat="1" applyFont="1" applyFill="1" applyAlignment="1">
      <alignment horizontal="center"/>
    </xf>
    <xf numFmtId="0" fontId="17" fillId="0" borderId="0" xfId="10" applyFont="1" applyBorder="1" applyAlignment="1">
      <alignment horizontal="left"/>
    </xf>
    <xf numFmtId="181" fontId="3" fillId="0" borderId="0" xfId="6" applyNumberFormat="1" applyFont="1" applyFill="1" applyAlignment="1">
      <alignment vertical="center"/>
    </xf>
    <xf numFmtId="0" fontId="1" fillId="0" borderId="0" xfId="8" applyFont="1" applyBorder="1" applyAlignment="1">
      <alignment horizontal="center" vertical="center" wrapText="1"/>
    </xf>
    <xf numFmtId="0" fontId="3" fillId="0" borderId="0" xfId="10" applyFont="1" applyAlignment="1">
      <alignment horizontal="center" vertical="center"/>
    </xf>
    <xf numFmtId="0" fontId="3" fillId="2" borderId="2" xfId="7" applyNumberFormat="1" applyFont="1" applyFill="1" applyBorder="1" applyAlignment="1">
      <alignment horizontal="center" vertical="center"/>
    </xf>
    <xf numFmtId="0" fontId="3" fillId="2" borderId="6" xfId="7" applyNumberFormat="1" applyFont="1" applyFill="1" applyBorder="1" applyAlignment="1">
      <alignment horizontal="center" vertical="center"/>
    </xf>
    <xf numFmtId="176" fontId="3" fillId="2" borderId="2" xfId="7" applyNumberFormat="1" applyFont="1" applyFill="1" applyBorder="1" applyAlignment="1">
      <alignment horizontal="center" vertical="center"/>
    </xf>
    <xf numFmtId="176" fontId="3" fillId="0" borderId="0" xfId="10" applyNumberFormat="1" applyFont="1" applyAlignment="1">
      <alignment horizontal="center" vertical="center"/>
    </xf>
    <xf numFmtId="182" fontId="3" fillId="0" borderId="2" xfId="1" applyNumberFormat="1" applyFont="1" applyBorder="1" applyAlignment="1">
      <alignment horizontal="center" vertical="center"/>
    </xf>
    <xf numFmtId="180" fontId="3" fillId="0" borderId="2" xfId="10" applyNumberFormat="1" applyFont="1" applyBorder="1" applyAlignment="1">
      <alignment horizontal="center"/>
    </xf>
    <xf numFmtId="176" fontId="3" fillId="0" borderId="2" xfId="10" applyNumberFormat="1" applyFont="1" applyBorder="1" applyAlignment="1">
      <alignment horizontal="center" vertical="center"/>
    </xf>
    <xf numFmtId="0" fontId="3" fillId="0" borderId="2" xfId="10" applyFont="1" applyFill="1" applyBorder="1" applyAlignment="1">
      <alignment horizontal="center"/>
    </xf>
    <xf numFmtId="182" fontId="3" fillId="0" borderId="2" xfId="1" applyNumberFormat="1" applyFont="1" applyFill="1" applyBorder="1" applyAlignment="1">
      <alignment horizontal="center" vertical="center"/>
    </xf>
    <xf numFmtId="0" fontId="3" fillId="0" borderId="7" xfId="10" applyFont="1" applyFill="1" applyBorder="1" applyAlignment="1">
      <alignment horizontal="center"/>
    </xf>
    <xf numFmtId="0" fontId="3" fillId="0" borderId="7" xfId="10" applyFont="1" applyFill="1" applyBorder="1" applyAlignment="1">
      <alignment horizontal="center" vertical="center"/>
    </xf>
    <xf numFmtId="0" fontId="3" fillId="0" borderId="0" xfId="10" applyFont="1" applyFill="1" applyBorder="1" applyAlignment="1">
      <alignment horizontal="center" vertical="center"/>
    </xf>
    <xf numFmtId="9" fontId="3" fillId="9" borderId="2" xfId="1" applyFont="1" applyFill="1" applyBorder="1" applyAlignment="1">
      <alignment horizontal="center" vertical="center"/>
    </xf>
    <xf numFmtId="0" fontId="3" fillId="0" borderId="0" xfId="7" applyNumberFormat="1" applyFont="1" applyFill="1" applyBorder="1" applyAlignment="1">
      <alignment horizontal="center" vertical="center"/>
    </xf>
    <xf numFmtId="176" fontId="3" fillId="0" borderId="0" xfId="7" applyNumberFormat="1" applyFont="1" applyFill="1" applyBorder="1" applyAlignment="1">
      <alignment horizontal="center" vertical="center"/>
    </xf>
    <xf numFmtId="179" fontId="3" fillId="0" borderId="0" xfId="8" applyNumberFormat="1" applyFont="1" applyAlignment="1">
      <alignment horizontal="center" vertical="center"/>
    </xf>
    <xf numFmtId="0" fontId="2" fillId="0" borderId="0" xfId="6" applyFont="1" applyAlignment="1">
      <alignment horizontal="center" vertical="center"/>
    </xf>
    <xf numFmtId="0" fontId="2" fillId="2" borderId="8" xfId="7" applyNumberFormat="1" applyFont="1" applyFill="1" applyBorder="1" applyAlignment="1">
      <alignment horizontal="center" vertical="center"/>
    </xf>
    <xf numFmtId="0" fontId="2" fillId="2" borderId="2" xfId="7" applyNumberFormat="1" applyFont="1" applyFill="1" applyBorder="1" applyAlignment="1">
      <alignment horizontal="center" vertical="center"/>
    </xf>
    <xf numFmtId="176" fontId="2" fillId="2" borderId="2" xfId="7" applyNumberFormat="1" applyFont="1" applyFill="1" applyBorder="1" applyAlignment="1">
      <alignment horizontal="center" vertical="center"/>
    </xf>
    <xf numFmtId="0" fontId="2" fillId="0" borderId="8" xfId="6" applyFont="1" applyBorder="1" applyAlignment="1">
      <alignment horizontal="center"/>
    </xf>
    <xf numFmtId="176" fontId="2" fillId="0" borderId="2" xfId="6" applyNumberFormat="1" applyFont="1" applyBorder="1" applyAlignment="1">
      <alignment horizontal="center"/>
    </xf>
    <xf numFmtId="0" fontId="2" fillId="0" borderId="2" xfId="6" applyFont="1" applyBorder="1" applyAlignment="1">
      <alignment horizontal="center" vertical="center"/>
    </xf>
    <xf numFmtId="0" fontId="2" fillId="0" borderId="2" xfId="6" applyFont="1" applyBorder="1" applyAlignment="1">
      <alignment horizontal="center"/>
    </xf>
    <xf numFmtId="178" fontId="2" fillId="0" borderId="2" xfId="6" applyNumberFormat="1" applyFont="1" applyBorder="1" applyAlignment="1">
      <alignment horizontal="center"/>
    </xf>
    <xf numFmtId="9" fontId="2" fillId="0" borderId="2" xfId="2" applyFont="1" applyBorder="1" applyAlignment="1">
      <alignment horizontal="center"/>
    </xf>
    <xf numFmtId="0" fontId="2" fillId="4" borderId="2" xfId="6" applyFont="1" applyFill="1" applyBorder="1" applyAlignment="1">
      <alignment horizontal="center"/>
    </xf>
    <xf numFmtId="178" fontId="12" fillId="4" borderId="2" xfId="6" applyNumberFormat="1" applyFont="1" applyFill="1" applyBorder="1" applyAlignment="1">
      <alignment horizontal="center"/>
    </xf>
    <xf numFmtId="0" fontId="2" fillId="0" borderId="0" xfId="6" applyFont="1" applyFill="1" applyAlignment="1">
      <alignment horizontal="center" vertical="center"/>
    </xf>
    <xf numFmtId="0" fontId="1" fillId="0" borderId="0" xfId="11" applyFont="1" applyBorder="1" applyAlignment="1">
      <alignment horizontal="left"/>
    </xf>
    <xf numFmtId="0" fontId="3" fillId="0" borderId="0" xfId="11" applyFont="1" applyBorder="1" applyAlignment="1">
      <alignment horizontal="center"/>
    </xf>
    <xf numFmtId="0" fontId="3" fillId="0" borderId="0" xfId="11" applyFont="1" applyAlignment="1">
      <alignment horizontal="center"/>
    </xf>
    <xf numFmtId="176" fontId="3" fillId="0" borderId="0" xfId="11" applyNumberFormat="1" applyFont="1" applyAlignment="1">
      <alignment horizontal="center"/>
    </xf>
    <xf numFmtId="0" fontId="18" fillId="0" borderId="0" xfId="5" applyFont="1"/>
    <xf numFmtId="0" fontId="18" fillId="0" borderId="0" xfId="4" applyFont="1">
      <alignment vertical="center"/>
    </xf>
    <xf numFmtId="179" fontId="14" fillId="6" borderId="2" xfId="11" applyNumberFormat="1" applyFont="1" applyFill="1" applyBorder="1" applyAlignment="1">
      <alignment horizontal="center" vertical="center"/>
    </xf>
    <xf numFmtId="179" fontId="3" fillId="0" borderId="2" xfId="11" applyNumberFormat="1" applyFont="1" applyFill="1" applyBorder="1" applyAlignment="1">
      <alignment horizontal="center" vertical="center"/>
    </xf>
    <xf numFmtId="179" fontId="3" fillId="0" borderId="2" xfId="11" applyNumberFormat="1" applyFont="1" applyBorder="1" applyAlignment="1">
      <alignment horizontal="center" vertical="center"/>
    </xf>
    <xf numFmtId="0" fontId="3" fillId="0" borderId="2" xfId="9" applyFont="1" applyBorder="1" applyAlignment="1">
      <alignment horizontal="center" vertical="center"/>
    </xf>
    <xf numFmtId="176" fontId="3" fillId="2" borderId="2" xfId="9" applyNumberFormat="1" applyFont="1" applyFill="1" applyBorder="1" applyAlignment="1">
      <alignment horizontal="center" vertical="center"/>
    </xf>
    <xf numFmtId="179" fontId="3" fillId="6" borderId="2" xfId="11" applyNumberFormat="1" applyFont="1" applyFill="1" applyBorder="1" applyAlignment="1">
      <alignment horizontal="center" vertical="center"/>
    </xf>
    <xf numFmtId="179" fontId="1" fillId="0" borderId="0" xfId="11" applyNumberFormat="1" applyFont="1" applyFill="1" applyBorder="1" applyAlignment="1">
      <alignment horizontal="center" vertical="center"/>
    </xf>
    <xf numFmtId="0" fontId="3" fillId="0" borderId="0" xfId="11" applyFont="1" applyBorder="1" applyAlignment="1"/>
    <xf numFmtId="179" fontId="3" fillId="4" borderId="2" xfId="11" applyNumberFormat="1" applyFont="1" applyFill="1" applyBorder="1" applyAlignment="1">
      <alignment horizontal="center" vertical="center"/>
    </xf>
    <xf numFmtId="183" fontId="19" fillId="10" borderId="0" xfId="0" applyNumberFormat="1" applyFont="1" applyFill="1" applyAlignment="1">
      <alignment horizontal="left" vertical="top" wrapText="1"/>
    </xf>
    <xf numFmtId="179" fontId="1" fillId="4" borderId="2" xfId="10" applyNumberFormat="1" applyFont="1" applyFill="1" applyBorder="1" applyAlignment="1">
      <alignment horizontal="center" vertical="center"/>
    </xf>
    <xf numFmtId="179" fontId="1" fillId="4" borderId="8" xfId="11" applyNumberFormat="1" applyFont="1" applyFill="1" applyBorder="1" applyAlignment="1">
      <alignment horizontal="center" vertical="center"/>
    </xf>
    <xf numFmtId="179" fontId="1" fillId="4" borderId="6" xfId="11" applyNumberFormat="1" applyFont="1" applyFill="1" applyBorder="1" applyAlignment="1">
      <alignment horizontal="center" vertical="center"/>
    </xf>
    <xf numFmtId="0" fontId="1" fillId="2" borderId="3" xfId="7" applyNumberFormat="1" applyFont="1" applyFill="1" applyBorder="1" applyAlignment="1">
      <alignment horizontal="center" vertical="center"/>
    </xf>
    <xf numFmtId="0" fontId="1" fillId="2" borderId="5" xfId="7" applyNumberFormat="1" applyFont="1" applyFill="1" applyBorder="1" applyAlignment="1">
      <alignment horizontal="center" vertical="center"/>
    </xf>
    <xf numFmtId="0" fontId="6" fillId="3" borderId="3" xfId="3" applyFont="1" applyFill="1" applyBorder="1" applyAlignment="1">
      <alignment horizontal="center" vertical="center"/>
    </xf>
    <xf numFmtId="0" fontId="6" fillId="3" borderId="4" xfId="3" applyFont="1" applyFill="1" applyBorder="1" applyAlignment="1">
      <alignment horizontal="center" vertical="center"/>
    </xf>
    <xf numFmtId="177" fontId="6" fillId="3" borderId="2" xfId="3" applyNumberFormat="1" applyFont="1" applyFill="1" applyBorder="1" applyAlignment="1">
      <alignment horizontal="center" vertical="center"/>
    </xf>
    <xf numFmtId="0" fontId="9" fillId="0" borderId="0" xfId="3" applyFont="1" applyBorder="1" applyAlignment="1">
      <alignment horizontal="left" vertical="center" wrapText="1"/>
    </xf>
    <xf numFmtId="179" fontId="3" fillId="7" borderId="2" xfId="10" applyNumberFormat="1" applyFont="1" applyFill="1" applyBorder="1" applyAlignment="1">
      <alignment horizontal="center" vertical="center"/>
    </xf>
    <xf numFmtId="0" fontId="1" fillId="0" borderId="1" xfId="8" applyFont="1" applyBorder="1" applyAlignment="1">
      <alignment horizontal="center" vertical="center"/>
    </xf>
    <xf numFmtId="0" fontId="1" fillId="0" borderId="0" xfId="8" applyFont="1" applyBorder="1" applyAlignment="1">
      <alignment horizontal="center" vertical="center"/>
    </xf>
    <xf numFmtId="0" fontId="5" fillId="0" borderId="2" xfId="3" applyFont="1" applyFill="1" applyBorder="1" applyAlignment="1">
      <alignment horizontal="center"/>
    </xf>
    <xf numFmtId="0" fontId="4" fillId="0" borderId="2" xfId="3" applyFont="1" applyFill="1" applyBorder="1" applyAlignment="1">
      <alignment horizontal="center"/>
    </xf>
    <xf numFmtId="179" fontId="1" fillId="4" borderId="8" xfId="10" applyNumberFormat="1" applyFont="1" applyFill="1" applyBorder="1" applyAlignment="1">
      <alignment horizontal="center" vertical="center"/>
    </xf>
    <xf numFmtId="179" fontId="1" fillId="4" borderId="6" xfId="10" applyNumberFormat="1" applyFont="1" applyFill="1" applyBorder="1" applyAlignment="1">
      <alignment horizontal="center" vertical="center"/>
    </xf>
  </cellXfs>
  <cellStyles count="12">
    <cellStyle name="百分比 2 2 2 3" xfId="1" xr:uid="{00000000-0005-0000-0000-000031000000}"/>
    <cellStyle name="百分比 3 5 2" xfId="2" xr:uid="{00000000-0005-0000-0000-000032000000}"/>
    <cellStyle name="常规" xfId="0" builtinId="0"/>
    <cellStyle name="常规 10 5" xfId="3" xr:uid="{00000000-0005-0000-0000-000033000000}"/>
    <cellStyle name="常规 17" xfId="4" xr:uid="{00000000-0005-0000-0000-000034000000}"/>
    <cellStyle name="常规 2" xfId="5" xr:uid="{00000000-0005-0000-0000-000035000000}"/>
    <cellStyle name="常规 2 2 2 2 2 2 2" xfId="6" xr:uid="{00000000-0005-0000-0000-000036000000}"/>
    <cellStyle name="常规 2 2 2 2 2 3" xfId="7" xr:uid="{00000000-0005-0000-0000-000037000000}"/>
    <cellStyle name="常规 2 2 2 3 2" xfId="8" xr:uid="{00000000-0005-0000-0000-000038000000}"/>
    <cellStyle name="常规 2 2 2 4" xfId="9" xr:uid="{00000000-0005-0000-0000-000039000000}"/>
    <cellStyle name="常规 3 8" xfId="10" xr:uid="{00000000-0005-0000-0000-00003A000000}"/>
    <cellStyle name="常规 3 9" xfId="11" xr:uid="{00000000-0005-0000-0000-00003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MDCE\Monthly%20Pricing\IBM\1999\May%2099\May99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000019\AppData\Roaming\kingsoft\wps\XLSTART\AUG2\AUG%20FIN%20W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My%20Documents\EXP\2002-07\EXP2002-06su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51%20v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\share\SiteData\GDL4\Publico\Planning&amp;Scheduling\Plan%20de%20Produccion%20Sanmina\DICIEMBRE%2006\Archivos%20de%20Verificaciones%20de%20planes%20de%20Dic%2006\NEW%20DIC%202006%20PRODUCTION%20PLAN%20ABS%20nuevo%20xsalida%20PUNCH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ggannon\Local%20Settings\Temporary%20Internet%20Files\OLK48\BOXSTER%20Planner%20Rev%20X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1.32.76\d$\2001\AI%20Expense\M4\EXP2001-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12772-pc\MOI\My%20Documents\Sales\Sales%20Funnel\sales%20funnel%20W06%20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ent008\Program\New%20Folder\Project%20Management\Project%20Dashboards\Dell%20Boxster\BOXSTER%20Planner%20Rev%20X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%20Management\Project%20Dashboards\Dell%20Boxster\BOXSTER%20Planner%20Rev%20X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RIVATE\SECTION\PROG\Common3\Cisco\Demand_Commit\MA\EDI%20From%20Corporate\Reschedule_PDC__51212_E83%20PENANG%201_11-6-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Project%20Management\Project%20Dashboards\Dell%20Boxster\BOXSTER%20Planner%20Rev%20X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L Prices"/>
      <sheetName val="Module Prices"/>
      <sheetName val="CVAs"/>
      <sheetName val="Price List"/>
      <sheetName val="Customer Pricelist"/>
      <sheetName val="FLAT FILE"/>
      <sheetName val="Alt list showing cost detail"/>
      <sheetName val="Sheet3"/>
      <sheetName val="DELTA ANALYSI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V"/>
      <sheetName val=" LBR X"/>
      <sheetName val="OT"/>
      <sheetName val="SVC"/>
      <sheetName val="CTC 0820"/>
      <sheetName val="AGING"/>
      <sheetName val="OTK"/>
      <sheetName val="Module1"/>
      <sheetName val="Module2"/>
      <sheetName val="Lists"/>
      <sheetName val="Assumptions"/>
      <sheetName val="MGTMACRO"/>
      <sheetName val="Menu Items"/>
      <sheetName val="Palm"/>
      <sheetName val="Cover"/>
      <sheetName val="CONSOBS"/>
      <sheetName val="CONSOPL"/>
      <sheetName val="Equipment List"/>
      <sheetName val="BUSSMANN INTERNATIONAL INC"/>
      <sheetName val="FA-LISTING"/>
      <sheetName val="Sheet2"/>
      <sheetName val="Engineering"/>
      <sheetName val="Losses"/>
      <sheetName val="Inputs from ASAP"/>
      <sheetName val="Setup"/>
      <sheetName val="setup2"/>
      <sheetName val="_LBR_X"/>
      <sheetName val="CTC_0820"/>
      <sheetName val="Menu_Items"/>
      <sheetName val="Equipment_List"/>
      <sheetName val="BUSSMANN_INTERNATIONAL_INC"/>
      <sheetName val="Inputs_from_ASAP"/>
      <sheetName val="Program Summary"/>
      <sheetName val="Site Overview"/>
      <sheetName val="RPT"/>
      <sheetName val="P&amp;L by prod"/>
      <sheetName val="Summary by Monthly"/>
      <sheetName val="Labor Input Data"/>
      <sheetName val="WaterFallsQ1'16 "/>
      <sheetName val="Data Validation "/>
      <sheetName val="E&amp;O"/>
      <sheetName val="System NPV"/>
      <sheetName val="Summary"/>
      <sheetName val="Painting"/>
      <sheetName val="RMA"/>
      <sheetName val="_LBR_X1"/>
      <sheetName val="CTC_08201"/>
      <sheetName val="_LBR_X2"/>
      <sheetName val="CTC_08202"/>
      <sheetName val="_LBR_X3"/>
      <sheetName val="CTC_08203"/>
      <sheetName val="_LBR_X4"/>
      <sheetName val="CTC_08204"/>
      <sheetName val="_LBR_X7"/>
      <sheetName val="CTC_08207"/>
      <sheetName val="_LBR_X5"/>
      <sheetName val="CTC_08205"/>
      <sheetName val="_LBR_X6"/>
      <sheetName val="CTC_08206"/>
      <sheetName val="_LBR_X8"/>
      <sheetName val="CTC_08208"/>
      <sheetName val="_LBR_X9"/>
      <sheetName val="CTC_08209"/>
      <sheetName val="_LBR_X10"/>
      <sheetName val="CTC_082010"/>
      <sheetName val="_LBR_X11"/>
      <sheetName val="CTC_082011"/>
      <sheetName val="_LBR_X12"/>
      <sheetName val="CTC_082012"/>
      <sheetName val="_LBR_X13"/>
      <sheetName val="CTC_082013"/>
      <sheetName val="_LBR_X14"/>
      <sheetName val="CTC_082014"/>
      <sheetName val="_LBR_X15"/>
      <sheetName val="CTC_082015"/>
      <sheetName val="AUG FIN WK3"/>
      <sheetName val="West turn by model"/>
      <sheetName val="PPV_rec"/>
      <sheetName val="ISRDATA"/>
      <sheetName val="List"/>
      <sheetName val="AC"/>
      <sheetName val="_LBR_X16"/>
      <sheetName val="CTC_082016"/>
      <sheetName val="_LBR_X17"/>
      <sheetName val="CTC_082017"/>
      <sheetName val="_LBR_X18"/>
      <sheetName val="CTC_082018"/>
      <sheetName val="_LBR_X20"/>
      <sheetName val="CTC_082020"/>
      <sheetName val="_LBR_X19"/>
      <sheetName val="CTC_082019"/>
      <sheetName val="_LBR_X21"/>
      <sheetName val="CTC_082021"/>
      <sheetName val="_LBR_X22"/>
      <sheetName val="CTC_082022"/>
      <sheetName val="_LBR_X23"/>
      <sheetName val="CTC_082023"/>
      <sheetName val="Workings"/>
      <sheetName val="superbom 2"/>
      <sheetName val="ROHS"/>
      <sheetName val="Calculation Summary"/>
      <sheetName val="Bud vs Act"/>
      <sheetName val="Calculation Remove saving"/>
      <sheetName val="Summary PnL(S)"/>
      <sheetName val="True up (@3%)"/>
      <sheetName val="PNL Results"/>
      <sheetName val="BHI_QARM Calculation"/>
      <sheetName val="Summary PnL(S) Yr2"/>
      <sheetName val="#REF"/>
      <sheetName val="Fcst SALES"/>
      <sheetName val="Cover sheet"/>
      <sheetName val="STDVGL"/>
      <sheetName val="Headcount"/>
      <sheetName val="_LBR_X24"/>
      <sheetName val="CTC_082024"/>
      <sheetName val="Menu_Items1"/>
      <sheetName val="Equipment_List1"/>
      <sheetName val="BUSSMANN_INTERNATIONAL_INC1"/>
      <sheetName val="Inputs_from_ASAP1"/>
      <sheetName val="Program_Summary"/>
      <sheetName val="Site_Overview"/>
      <sheetName val="P&amp;L_by_prod"/>
      <sheetName val="Summary_by_Monthly"/>
      <sheetName val="Labor_Input_Data"/>
      <sheetName val="WaterFallsQ1'16_"/>
      <sheetName val="Data_Validation_"/>
      <sheetName val="System_NPV"/>
      <sheetName val="AUG_FIN_WK3"/>
      <sheetName val="West_turn_by_model"/>
      <sheetName val="superbom_2"/>
      <sheetName val="Pric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費用分攤表"/>
      <sheetName val="SUM"/>
      <sheetName val="費用分攤表(ALL)"/>
      <sheetName val="MY00 REPORT"/>
      <sheetName val="ALL2002-07"/>
      <sheetName val="MLTX2002-07"/>
      <sheetName val="M1SM2002-07"/>
      <sheetName val="費用分攤表-M1SM -July"/>
      <sheetName val="費用分攤表-MS00"/>
      <sheetName val="Sheet1"/>
      <sheetName val="費用分攤表-MS00-data"/>
      <sheetName val="summary"/>
      <sheetName val="DS "/>
      <sheetName val="NW "/>
      <sheetName val="IA1"/>
      <sheetName val="IA2"/>
      <sheetName val="MS"/>
      <sheetName val="CSD"/>
      <sheetName val="M1Y0"/>
      <sheetName val="MU00"/>
      <sheetName val="OTHER"/>
      <sheetName val="ExportData"/>
      <sheetName val="codes"/>
      <sheetName val="Arch II"/>
      <sheetName val="MZC600"/>
      <sheetName val="HDDM"/>
      <sheetName val="Tuscany"/>
      <sheetName val="BY MONTH"/>
      <sheetName val="RUB"/>
      <sheetName val="0103 to 0109"/>
      <sheetName val="0110 to 0116"/>
      <sheetName val="0117 to 0123"/>
      <sheetName val="0124 to 0130"/>
      <sheetName val="0131"/>
      <sheetName val="total"/>
      <sheetName val="Trendsum_CoPQY2010 BU"/>
      <sheetName val="Y2009 BU Level Jul "/>
      <sheetName val="Raw Data"/>
      <sheetName val="YTD_CoPQY2009 BU"/>
      <sheetName val="NB"/>
      <sheetName val="Extra Cost Data"/>
      <sheetName val="Cover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2F IPQC issue Chart  "/>
      <sheetName val="pcbo 工時"/>
      <sheetName val="충전기"/>
      <sheetName val="BaseData"/>
      <sheetName val="Stock"/>
      <sheetName val="BB Table"/>
      <sheetName val="plan"/>
      <sheetName val="small card 基本資料0216_04"/>
      <sheetName val="ref"/>
      <sheetName val="DATA"/>
      <sheetName val="pd_SSS"/>
      <sheetName val="Weekly Cases Opened"/>
      <sheetName val="ISRDATA"/>
      <sheetName val="IQC Inspection Data"/>
      <sheetName val="工作表2"/>
      <sheetName val="MY00_REPORT"/>
      <sheetName val="費用分攤表-M1SM_-July"/>
      <sheetName val="DS_"/>
      <sheetName val="NW_"/>
      <sheetName val="Trendsum_CoPQY2010_BU"/>
      <sheetName val="Y2009_BU_Level_Jul_"/>
      <sheetName val="YTD_CoPQY2009_BU"/>
      <sheetName val="Raw_Data"/>
      <sheetName val="0103_to_0109"/>
      <sheetName val="0110_to_0116"/>
      <sheetName val="0117_to_0123"/>
      <sheetName val="0124_to_0130"/>
      <sheetName val="Extra_Cost_Data"/>
      <sheetName val="Weekly_Manpower"/>
      <sheetName val="2F_IPQC_issue_Chart__"/>
      <sheetName val="pcbo_工時"/>
      <sheetName val="BB_Table"/>
      <sheetName val="small_card_基本資料0216_04"/>
      <sheetName val="Arch_II"/>
      <sheetName val="會計科目"/>
      <sheetName val="工作表3"/>
      <sheetName val="各部主管及DRI"/>
      <sheetName val="工作表1"/>
      <sheetName val="MT-X01"/>
      <sheetName val="Hourly Rate"/>
      <sheetName val="Weekly_Cases_Opened"/>
      <sheetName val="IQC_Inspection_Data"/>
      <sheetName val="BY_MONTH"/>
      <sheetName val="Reschedule-Reconfirm"/>
      <sheetName val="ArchII"/>
      <sheetName val="Detail"/>
      <sheetName val="Vise"/>
      <sheetName val="Xbox"/>
      <sheetName val="OT"/>
      <sheetName val="Issues List"/>
      <sheetName val="Metal_list"/>
      <sheetName val="LIST"/>
      <sheetName val="reason"/>
      <sheetName val="Action Summary "/>
      <sheetName val="customer"/>
      <sheetName val="Action"/>
      <sheetName val="工作表5"/>
      <sheetName val="cu"/>
      <sheetName val="Action "/>
      <sheetName val="wsp 12-03"/>
      <sheetName val="2FDAY"/>
      <sheetName val="Settings"/>
      <sheetName val="Candidate"/>
      <sheetName val="Master Lists"/>
      <sheetName val="Reference Table"/>
      <sheetName val="下拉清單"/>
      <sheetName val="MY00_REPORT1"/>
      <sheetName val="費用分攤表-M1SM_-July1"/>
      <sheetName val="DS_1"/>
      <sheetName val="NW_1"/>
      <sheetName val="0103_to_01091"/>
      <sheetName val="0110_to_01161"/>
      <sheetName val="0117_to_01231"/>
      <sheetName val="0124_to_01301"/>
      <sheetName val="Trendsum_CoPQY2010_BU1"/>
      <sheetName val="Y2009_BU_Level_Jul_1"/>
      <sheetName val="Raw_Data1"/>
      <sheetName val="YTD_CoPQY2009_BU1"/>
      <sheetName val="Weekly_Manpower1"/>
      <sheetName val="Extra_Cost_Data1"/>
      <sheetName val="2F_IPQC_issue_Chart__1"/>
      <sheetName val="pcbo_工時1"/>
      <sheetName val="BB_Table1"/>
      <sheetName val="small_card_基本資料0216_041"/>
      <sheetName val="Arch_II1"/>
      <sheetName val="GSO's File"/>
      <sheetName val="Dean's File"/>
      <sheetName val="overlap waterfall barbados_lf"/>
      <sheetName val="作業分配表"/>
      <sheetName val="Mat Summary"/>
      <sheetName val="Blf2+LOM cost bom_080902"/>
      <sheetName val="FA-LISTING"/>
      <sheetName val="Sheet1 (2)"/>
      <sheetName val="&quot;B&quot; Quote Model"/>
      <sheetName val="All-In-One"/>
      <sheetName val="MetricsData"/>
      <sheetName val="掌控表"/>
      <sheetName val="Overhead calculations"/>
      <sheetName val="掌控"/>
      <sheetName val="Proto 1"/>
      <sheetName val="Team List"/>
      <sheetName val="Neo"/>
      <sheetName val="Information"/>
      <sheetName val="MFG MVA Assumption"/>
      <sheetName val="Basic Assumption"/>
      <sheetName val="Material List"/>
      <sheetName val="MPS Q3 FY05"/>
      <sheetName val="Forwarder_Plan"/>
      <sheetName val="Master List"/>
      <sheetName val="check List"/>
      <sheetName val="Sheet3"/>
      <sheetName val="Menus"/>
      <sheetName val="Test Data-Thermals-TTV"/>
      <sheetName val="wi modem及scan"/>
      <sheetName val="FA"/>
      <sheetName val="EXP2002-06sum"/>
      <sheetName val="G24-10 比較"/>
      <sheetName val="期初B"/>
      <sheetName val="Weekly Shift Plan"/>
      <sheetName val="XBOX360"/>
      <sheetName val="CUM CONSTRAINED AVAIL"/>
      <sheetName val="Cable"/>
      <sheetName val="MX"/>
      <sheetName val="Spending by COA"/>
      <sheetName val="中间表"/>
      <sheetName val="Sheet2"/>
      <sheetName val="PARTS"/>
      <sheetName val="Hidden"/>
      <sheetName val="Q_BF3 FBOM-update011504 (2)"/>
      <sheetName val="BF3_Jan_Cost"/>
      <sheetName val="0518"/>
      <sheetName val="2003 prod2"/>
      <sheetName val="2003 Target"/>
      <sheetName val="Category"/>
      <sheetName val="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TOP11&amp; GCA month"/>
      <sheetName val="Melco"/>
      <sheetName val="Dell"/>
      <sheetName val="Toshiba"/>
      <sheetName val="Proxim"/>
      <sheetName val="NEC"/>
      <sheetName val="HP"/>
      <sheetName val="Sony"/>
      <sheetName val="Apple"/>
      <sheetName val="IBM"/>
      <sheetName val="Others"/>
      <sheetName val="Sheet3"/>
      <sheetName val="Revenue"/>
      <sheetName val="NBD 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Sales Funnel"/>
      <sheetName val="choose list"/>
      <sheetName val="Funnel overview"/>
      <sheetName val="Model number"/>
      <sheetName val="Lost&amp;Win proj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Delta"/>
      <sheetName val="Project"/>
      <sheetName val="Plan"/>
      <sheetName val="Act Built"/>
      <sheetName val="MDS"/>
      <sheetName val="Bitacora cambios"/>
      <sheetName val="Final Sheet"/>
      <sheetName val="Severity"/>
      <sheetName val="Detection &amp; Prevention"/>
      <sheetName val="Oc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Act Bui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"/>
      <sheetName val="DS "/>
      <sheetName val="NW "/>
      <sheetName val="IA1"/>
      <sheetName val="IA2"/>
      <sheetName val="DVD"/>
      <sheetName val="PTB"/>
      <sheetName val="CSD"/>
      <sheetName val="M700"/>
      <sheetName val="OTHER"/>
      <sheetName val="Hourly Rate"/>
      <sheetName val="ExportData"/>
      <sheetName val="FRU Cost"/>
      <sheetName val="EC Charge"/>
      <sheetName val="Others"/>
      <sheetName val="Pilot Run"/>
      <sheetName val="Rework"/>
      <sheetName val="MACRO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Macros"/>
      <sheetName val="Detail"/>
      <sheetName val="Weekly Shift Plan"/>
      <sheetName val="XBOX360"/>
      <sheetName val="BaseData"/>
      <sheetName val="Sheet2"/>
      <sheetName val="Sheet3"/>
      <sheetName val="Trendsum_CoPQY2010 BU"/>
      <sheetName val="Stock"/>
      <sheetName val="FAE reports"/>
      <sheetName val="Budget unit"/>
      <sheetName val="2FDAY"/>
      <sheetName val="IS-YTD"/>
      <sheetName val="EXP2001-04"/>
      <sheetName val="BS"/>
      <sheetName val="OBU"/>
      <sheetName val="temp"/>
      <sheetName val="Setup"/>
      <sheetName val="Information"/>
      <sheetName val="Reference"/>
      <sheetName val="期初B"/>
      <sheetName val="1. Inputs"/>
      <sheetName val="STD"/>
      <sheetName val="DataBased"/>
      <sheetName val="DS_"/>
      <sheetName val="NW_"/>
      <sheetName val="Hourly_Rate"/>
      <sheetName val="Trendsum_CoPQY2010_BU"/>
      <sheetName val="Weekly_Shift_Plan"/>
      <sheetName val="FAE_reports"/>
      <sheetName val="Budget_unit"/>
      <sheetName val="FRU_Cost"/>
      <sheetName val="EC_Charge"/>
      <sheetName val="Pilot_Run"/>
      <sheetName val="Weekly_Manpower"/>
      <sheetName val="small card 基本資料0216_04"/>
      <sheetName val="Issues List"/>
      <sheetName val="Assumption"/>
      <sheetName val="Data"/>
      <sheetName val="Base Data"/>
      <sheetName val="Reason"/>
      <sheetName val="Action"/>
      <sheetName val="customer"/>
      <sheetName val="Ref Data"/>
      <sheetName val="ISRDATA"/>
      <sheetName val="1__Inputs"/>
      <sheetName val="Settings"/>
      <sheetName val="Reschedule-Reconfirm"/>
      <sheetName val="Engineering Resources"/>
      <sheetName val="Sample"/>
      <sheetName val="SW Test"/>
      <sheetName val="EMC pre-test"/>
      <sheetName val="RF_Performance_LTE FCC_NA(WAN)"/>
      <sheetName val="RF Perfom WCDMA LTE CE_EU(WAN)"/>
      <sheetName val="RFI_NA_Reduced"/>
      <sheetName val="RFI_EU_Reduced"/>
      <sheetName val="RFI_WLAN_Reduced"/>
      <sheetName val="Antenna Pre-Test_Worldwide-WAN2"/>
      <sheetName val="AntennaPre-Test_Worldwide-WLAN2"/>
      <sheetName val="RF Pre-Test_NA_RFV (WAN)24 "/>
      <sheetName val="RF Pre-Test_EU_RFV (WAN)24"/>
      <sheetName val="RF_Pre-test_Wifi Only24"/>
      <sheetName val="QTP"/>
      <sheetName val="IEEE 1725 (WAN)"/>
      <sheetName val="EMC regulatory_NA (WAN)"/>
      <sheetName val="EMC regulatory_EU (WAN)"/>
      <sheetName val="Thunder Backward"/>
      <sheetName val="Thunder Backward(Falcon ACC)"/>
      <sheetName val="EMC regulatory_WLAN only"/>
      <sheetName val="Safety"/>
      <sheetName val="RF Regulatory_Tier1(WAN)"/>
      <sheetName val="RF Regulatory_Tier2 (WAN)"/>
      <sheetName val="RF Official regulatoryWLAN Tie1"/>
      <sheetName val="RF Official regulatoryWLAN Tie2"/>
      <sheetName val="Cetification _Fee_WWAN"/>
      <sheetName val="Cetification _Fee_WLAN"/>
      <sheetName val="PTCRB_GCF Pre Test (WAN)"/>
      <sheetName val="PTCRB_GCF (WAN)"/>
      <sheetName val="Carrier PreTest (WAN)"/>
      <sheetName val="Carrier Official Test (WAN)"/>
      <sheetName val="Tooling"/>
      <sheetName val="Fixtures"/>
      <sheetName val="CTO PO"/>
      <sheetName val="DS_1"/>
      <sheetName val="NW_1"/>
      <sheetName val="Hourly_Rate1"/>
      <sheetName val="Weekly_Shift_Plan1"/>
      <sheetName val="Trendsum_CoPQY2010_BU1"/>
      <sheetName val="FAE_reports1"/>
      <sheetName val="Budget_unit1"/>
      <sheetName val="FRU_Cost1"/>
      <sheetName val="EC_Charge1"/>
      <sheetName val="Pilot_Run1"/>
      <sheetName val="Weekly_Manpower1"/>
      <sheetName val="Base_Data"/>
      <sheetName val="Ref_Data"/>
      <sheetName val="small_card_基本資料0216_04"/>
      <sheetName val="Cover"/>
      <sheetName val="Version Control"/>
      <sheetName val="非機種"/>
      <sheetName val="All Parts"/>
      <sheetName val="Cyce 3 Descriptions"/>
      <sheetName val="Call Down Data OLD"/>
      <sheetName val="List"/>
      <sheetName val="PCSM"/>
      <sheetName val="Intel Lan + AD1885 EBOM"/>
      <sheetName val="Deliverables"/>
      <sheetName val="Project Details"/>
      <sheetName val="Rates"/>
      <sheetName val="P&amp;L"/>
      <sheetName val="PartsList"/>
      <sheetName val="Management Review"/>
      <sheetName val="Product Data Entry"/>
      <sheetName val="All"/>
      <sheetName val="Bom(P1)"/>
      <sheetName val="wsp 01-07"/>
      <sheetName val="FA"/>
      <sheetName val="fa-listing"/>
      <sheetName val="greer"/>
      <sheetName val="GPIO raw"/>
      <sheetName val="IO Summary"/>
      <sheetName val="Process Scaling"/>
      <sheetName val="IPXPTL"/>
      <sheetName val="summary_4.5%MOH"/>
      <sheetName val="Master Lists"/>
      <sheetName val="D45D46"/>
      <sheetName val="scm av data"/>
      <sheetName val="Candidate"/>
      <sheetName val="plan"/>
      <sheetName val="INV"/>
      <sheetName val="SFC"/>
      <sheetName val="SHIP"/>
      <sheetName val="SO"/>
      <sheetName val="WFA"/>
      <sheetName val="DropDownLists"/>
      <sheetName val="DS_2"/>
      <sheetName val="NW_2"/>
      <sheetName val="Hourly_Rate2"/>
      <sheetName val="FRU_Cost2"/>
      <sheetName val="EC_Charge2"/>
      <sheetName val="Pilot_Run2"/>
      <sheetName val="Weekly_Manpower2"/>
      <sheetName val="Weekly_Shift_Plan2"/>
      <sheetName val="Trendsum_CoPQY2010_BU2"/>
      <sheetName val="FAE_reports2"/>
      <sheetName val="Budget_unit2"/>
      <sheetName val="1__Inputs1"/>
      <sheetName val="small_card_基本資料0216_041"/>
      <sheetName val="Base_Data1"/>
      <sheetName val="Ref_Data1"/>
      <sheetName val="Issues_List"/>
      <sheetName val="GPIO_raw"/>
      <sheetName val="IO_Summary"/>
      <sheetName val="Process_Scaling"/>
      <sheetName val="summary_4_5%MOH"/>
      <sheetName val="Master_Lists"/>
      <sheetName val="Engineering_Resources"/>
      <sheetName val="SW_Test"/>
      <sheetName val="EMC_pre-test"/>
      <sheetName val="RF_Performance_LTE_FCC_NA(WAN)"/>
      <sheetName val="RF_Perfom_WCDMA_LTE_CE_EU(WAN)"/>
      <sheetName val="Antenna_Pre-Test_Worldwide-WAN2"/>
      <sheetName val="RF_Pre-Test_NA_RFV_(WAN)24_"/>
      <sheetName val="RF_Pre-Test_EU_RFV_(WAN)24"/>
      <sheetName val="RF_Pre-test_Wifi_Only24"/>
      <sheetName val="IEEE_1725_(WAN)"/>
      <sheetName val="EMC_regulatory_NA_(WAN)"/>
      <sheetName val="EMC_regulatory_EU_(WAN)"/>
      <sheetName val="Thunder_Backward"/>
      <sheetName val="Thunder_Backward(Falcon_ACC)"/>
      <sheetName val="EMC_regulatory_WLAN_only"/>
      <sheetName val="RF_Regulatory_Tier1(WAN)"/>
      <sheetName val="RF_Regulatory_Tier2_(WAN)"/>
      <sheetName val="RF_Official_regulatoryWLAN_Tie1"/>
      <sheetName val="RF_Official_regulatoryWLAN_Tie2"/>
      <sheetName val="Cetification__Fee_WWAN"/>
      <sheetName val="Cetification__Fee_WLAN"/>
      <sheetName val="PTCRB_GCF_Pre_Test_(WAN)"/>
      <sheetName val="PTCRB_GCF_(WAN)"/>
      <sheetName val="Carrier_PreTest_(WAN)"/>
      <sheetName val="Carrier_Official_Test_(WAN)"/>
      <sheetName val="CTO_PO"/>
      <sheetName val="Version_Control"/>
      <sheetName val="All_Parts"/>
      <sheetName val="Cyce_3_Descriptions"/>
      <sheetName val="Call_Down_Data_OLD"/>
      <sheetName val="Intel_Lan_+_AD1885_EBOM"/>
      <sheetName val="Project_Details"/>
      <sheetName val="Management_Review"/>
      <sheetName val="Product_Data_Entry"/>
      <sheetName val="wsp_01-07"/>
      <sheetName val="Detail Schedule"/>
      <sheetName val="OverTime Rule"/>
      <sheetName val="IE"/>
      <sheetName val="Custom_Cost"/>
      <sheetName val="A-Note Bug list"/>
      <sheetName val="Input data"/>
      <sheetName val="Better"/>
      <sheetName val="F"/>
      <sheetName val="HK"/>
      <sheetName val="Best"/>
      <sheetName val="AIR (Inbound material)"/>
      <sheetName val="Build Instructions"/>
      <sheetName val="sm Pcost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enue achievement% by month"/>
      <sheetName val="for monthly review"/>
      <sheetName val="guide line"/>
      <sheetName val="Revenue USD"/>
      <sheetName val="Revenue"/>
      <sheetName val="recenue achievement%"/>
      <sheetName val="ODM&amp;OTS"/>
      <sheetName val="EMS"/>
      <sheetName val="JDM"/>
      <sheetName val="ODM"/>
      <sheetName val="BM revenue in Y2004"/>
      <sheetName val="OTS"/>
      <sheetName val="revenue by month"/>
      <sheetName val="NBD revenue 1"/>
      <sheetName val="Sales Funnel "/>
      <sheetName val="choose list"/>
      <sheetName val="Funnel overview"/>
      <sheetName val="Lost&amp;Win project"/>
      <sheetName val="Issues List"/>
      <sheetName val="Reschedule-Reconfi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Receiving Inspection"/>
      <sheetName val="Data lists"/>
      <sheetName val="대외공문"/>
      <sheetName val="P&amp;L wCorpAlloc"/>
      <sheetName val="All"/>
      <sheetName val="ISRDATA"/>
      <sheetName val="Definition"/>
      <sheetName val="A  產業車輛故障項目核對結果"/>
      <sheetName val="L2-車輛詳細資料 "/>
      <sheetName val="FA_LISTING"/>
      <sheetName val="LIST"/>
      <sheetName val="0414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Summarized P&amp;L"/>
      <sheetName val="#REF!"/>
      <sheetName val="QuoteSummary"/>
      <sheetName val="General Instructions"/>
      <sheetName val="Master List"/>
      <sheetName val="BOXSTER Planner Rev X1"/>
      <sheetName val="FA-LISTING"/>
      <sheetName val="Price Summary"/>
      <sheetName val="Cost Breakdown"/>
      <sheetName val="Assessments"/>
      <sheetName val="Sheet3"/>
      <sheetName val="DBL LPG시험"/>
      <sheetName val="Rates"/>
      <sheetName val="Price Model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Data_lists"/>
      <sheetName val="DBL_LPG시험"/>
      <sheetName val="Price_Model"/>
      <sheetName val="Sheet2"/>
      <sheetName val="Palm"/>
      <sheetName val="P&amp;L"/>
      <sheetName val="FA"/>
      <sheetName val="code"/>
      <sheetName val="Blf2+LOM cost bom_080902"/>
      <sheetName val="Master Lists"/>
      <sheetName val="Receiving_Inspection"/>
      <sheetName val="P&amp;L_wCorpAlloc"/>
      <sheetName val="Summarized_P&amp;L"/>
      <sheetName val="General_Instructions"/>
      <sheetName val="Master_List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Valores"/>
      <sheetName val="IP-1 INSP-CAV #2"/>
      <sheetName val="Nimitz Base Cover"/>
      <sheetName val="Root causes"/>
      <sheetName val="Call Down Data OLD"/>
      <sheetName val="I Input Template"/>
      <sheetName val="Supplier Base Inpu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SBB Table"/>
      <sheetName val="All Parts"/>
      <sheetName val="Carlin-G costbom"/>
      <sheetName val="All_Parts"/>
      <sheetName val="Carlin-G_costbom"/>
      <sheetName val="Pivot"/>
      <sheetName val="Nov"/>
      <sheetName val="#REF"/>
      <sheetName val="4048"/>
      <sheetName val="Assy"/>
      <sheetName val="129 COA"/>
      <sheetName val="MOH-April"/>
      <sheetName val="New Workings"/>
      <sheetName val="P&amp;LOEM &amp; FG"/>
      <sheetName val="差异分攤"/>
      <sheetName val=" Quotation sheet"/>
      <sheetName val="Entry"/>
      <sheetName val="Shot"/>
      <sheetName val="Summary Design-Proto"/>
      <sheetName val="Setting"/>
      <sheetName val="1"/>
      <sheetName val="AllPts-541-0832-02"/>
      <sheetName val="B.O.M."/>
      <sheetName val="C۽"/>
      <sheetName val="Q#3839 Indented Bom d"/>
      <sheetName val="Cost_Breakdown"/>
      <sheetName val="FCT repair data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LP1 Shipment"/>
      <sheetName val="半成品"/>
      <sheetName val="靶材分配比例"/>
      <sheetName val="Data_Init"/>
      <sheetName val="Data_HR"/>
      <sheetName val="HDCTEXP "/>
      <sheetName val="Control"/>
      <sheetName val="SPM Units"/>
      <sheetName val="N-3"/>
      <sheetName val="VAM Report Input"/>
      <sheetName val="Version Control"/>
      <sheetName val=""/>
      <sheetName val="129_COA"/>
      <sheetName val="Fcst SALES"/>
      <sheetName val="Cover sheet"/>
      <sheetName val="STDVGL"/>
      <sheetName val="Headcount"/>
      <sheetName val="FLX Consolflxidated"/>
      <sheetName val="X"/>
      <sheetName val="CoverPage"/>
      <sheetName val="Demand_051704"/>
      <sheetName val="Commit by Qtr"/>
      <sheetName val="Ramp-up Prod KLf pro Woche "/>
      <sheetName val="Data Validation"/>
      <sheetName val="Tester Quote"/>
      <sheetName val="Lists"/>
      <sheetName val="Market Module"/>
      <sheetName val="040W資料庫"/>
      <sheetName val="076W資料庫"/>
      <sheetName val="Data Input "/>
      <sheetName val="Saturn MVB bom_Aug.18'08"/>
      <sheetName val="FB Tooling List 1210"/>
      <sheetName val="Sheet4"/>
      <sheetName val="DELL_Schedule"/>
      <sheetName val="2003 Target"/>
      <sheetName val="2003 prod2"/>
      <sheetName val="Hourly Rate"/>
      <sheetName val="Palm Q402 Price File"/>
      <sheetName val="Palm Targets"/>
      <sheetName val="Panel list"/>
      <sheetName val="Lookup Tables"/>
      <sheetName val="eBOM"/>
      <sheetName val="reference"/>
      <sheetName val="LINE A"/>
      <sheetName val="LINE K"/>
      <sheetName val="Sales Forecast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C۽_x005f_x0000_tents"/>
      <sheetName val="LSS"/>
      <sheetName val="IDX"/>
      <sheetName val="期初B"/>
      <sheetName val="Material List"/>
      <sheetName val="MFG1"/>
      <sheetName val="GRACE"/>
      <sheetName val="model"/>
      <sheetName val="Commodity"/>
      <sheetName val="Information"/>
      <sheetName val="BF3_FBOM"/>
      <sheetName val="2E998"/>
      <sheetName val="part_costs"/>
      <sheetName val="Parameter"/>
      <sheetName val="BaseData"/>
      <sheetName val="SupplierBaseInput"/>
      <sheetName val="Labor Rate Detail-Arthur"/>
      <sheetName val="OS_Country_Kit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P&amp;LOEM_&amp;_FG"/>
      <sheetName val="Master_Lists"/>
      <sheetName val="Data_lists1"/>
      <sheetName val="P&amp;L_wCorpAlloc1"/>
      <sheetName val="Summarized_P&amp;L1"/>
      <sheetName val="General_Instructions1"/>
      <sheetName val="Master_List1"/>
      <sheetName val="A__產業車輛故障項目核對結果"/>
      <sheetName val="L2-車輛詳細資料_"/>
      <sheetName val="Sum_Sheet"/>
      <sheetName val="SCM AV data"/>
      <sheetName val="C۽tents"/>
      <sheetName val="I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choos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chedule-Reconfirm"/>
      <sheetName val="InstructionsAndTs&amp;Cs"/>
      <sheetName val="OriginalCopy-DoNotEdit"/>
      <sheetName val="choose 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Issues List"/>
      <sheetName val="Sheet1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All"/>
      <sheetName val="FA-LISTING"/>
      <sheetName val="Data lists"/>
      <sheetName val="Receiving Inspection"/>
      <sheetName val="1492分攤"/>
      <sheetName val="Valores"/>
      <sheetName val="Macro1"/>
      <sheetName val="ISRDATA"/>
      <sheetName val="IP-1 INSP-CAV #2"/>
      <sheetName val="Nimitz Base Cover"/>
      <sheetName val="差异分攤"/>
      <sheetName val="Root causes"/>
      <sheetName val="Call Down Data OLD"/>
      <sheetName val="I Input Template"/>
      <sheetName val="Saturn MVB bom_Aug.18'08"/>
      <sheetName val="Supplier Base Input"/>
      <sheetName val="Price Summary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Data_lists"/>
      <sheetName val="Receiving_Inspection"/>
      <sheetName val="IP-1_INSP-CAV_#2"/>
      <sheetName val="Root_causes"/>
      <sheetName val="Nimitz_Base_Cover"/>
      <sheetName val="Call_Down_Data_OLD"/>
      <sheetName val="I_Input_Template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Sheet2"/>
      <sheetName val=" Quotation sheet"/>
      <sheetName val="SBB Table"/>
      <sheetName val="#REF"/>
      <sheetName val="Summary Design-Proto"/>
      <sheetName val="FB Tooling List 1210"/>
      <sheetName val="Sheet4"/>
      <sheetName val="DELL_Schedule"/>
      <sheetName val="2003 Target"/>
      <sheetName val="2003 prod2"/>
      <sheetName val="Hourly Rate"/>
      <sheetName val="Setting"/>
      <sheetName val="Pivot"/>
      <sheetName val="Data_Init"/>
      <sheetName val="Data_HR"/>
      <sheetName val="Entry"/>
      <sheetName val="Shot"/>
      <sheetName val="PL-All"/>
      <sheetName val="Workings"/>
      <sheetName val="Macaron Tooling"/>
      <sheetName val="주행"/>
      <sheetName val="RickelsRFQPWA# 2"/>
      <sheetName val="MB Costed Bom PV"/>
      <sheetName val="生產計劃"/>
      <sheetName val="BOXSTER Planner Rev X1"/>
      <sheetName val="ship kit"/>
      <sheetName val="Guava Bulk"/>
      <sheetName val="Risk Codes"/>
      <sheetName val="Demand_051704"/>
      <sheetName val="4048"/>
      <sheetName val="Assy"/>
      <sheetName val="129 COA"/>
      <sheetName val="129_COA"/>
      <sheetName val="FLX Consolflxidated"/>
      <sheetName val="X"/>
      <sheetName val="Fcst SALES"/>
      <sheetName val="Cover sheet"/>
      <sheetName val="STDVGL"/>
      <sheetName val="Headcount"/>
      <sheetName val="All Parts"/>
      <sheetName val="P&amp;L wCorpAlloc"/>
      <sheetName val="Carlin-G costbom"/>
      <sheetName val="All_Parts"/>
      <sheetName val="P&amp;L_wCorpAlloc"/>
      <sheetName val="Carlin-G_costbom"/>
      <sheetName val="DBL LPG시험"/>
      <sheetName val="Rates"/>
      <sheetName val="Price Model"/>
      <sheetName val="DBL_LPG시험"/>
      <sheetName val="Price_Model"/>
      <sheetName val="Palm"/>
      <sheetName val="P&amp;L"/>
      <sheetName val="대외공문"/>
      <sheetName val="0414data"/>
      <sheetName val="#REF!"/>
      <sheetName val="Summarized P&amp;L"/>
      <sheetName val="LIST"/>
      <sheetName val="QuoteSummary"/>
      <sheetName val="General Instructions"/>
      <sheetName val="Definition"/>
      <sheetName val="Master List"/>
      <sheetName val="FA_LISTING"/>
      <sheetName val="Master Lists"/>
      <sheetName val="Cost Breakdown"/>
      <sheetName val="Summarized_P&amp;L"/>
      <sheetName val="General_Instructions"/>
      <sheetName val="Master_List"/>
      <sheetName val="Nov"/>
      <sheetName val="Q#3839 Indented Bom d"/>
      <sheetName val="MOH-April"/>
      <sheetName val="VAM Report Input"/>
      <sheetName val="code"/>
      <sheetName val="FCT repair data"/>
      <sheetName val="FA"/>
      <sheetName val="A  產業車輛故障項目核對結果"/>
      <sheetName val="L2-車輛詳細資料 "/>
      <sheetName val="0518"/>
      <sheetName val="C۽"/>
      <sheetName val="New Workings"/>
      <sheetName val="P&amp;LOEM &amp; FG"/>
      <sheetName val="1"/>
      <sheetName val="AllPts-541-0832-02"/>
      <sheetName val="B.O.M."/>
      <sheetName val="Cost_Breakdown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LP1 Shipment"/>
      <sheetName val="半成品"/>
      <sheetName val="靶材分配比例"/>
      <sheetName val="N-3"/>
      <sheetName val="Version Control"/>
      <sheetName val=""/>
      <sheetName val="040W資料庫"/>
      <sheetName val="076W資料庫"/>
      <sheetName val="Data Input "/>
      <sheetName val="Ramp-up Prod KLf pro Woche "/>
      <sheetName val="Tester Quote"/>
      <sheetName val="Palm Q402 Price File"/>
      <sheetName val="Palm Targets"/>
      <sheetName val="Panel list"/>
      <sheetName val="C۽_x005f_x0000_tents"/>
      <sheetName val="CoverPage"/>
      <sheetName val="Commit by Qtr"/>
      <sheetName val="reference"/>
      <sheetName val="Quote Data"/>
      <sheetName val="Lookup Tables"/>
      <sheetName val="Assessments"/>
      <sheetName val="Sheet3"/>
      <sheetName val="Lists"/>
      <sheetName val="Blf2+LOM cost bom_080902"/>
      <sheetName val="Market Module"/>
      <sheetName val="Data Validation"/>
      <sheetName val="part_costs"/>
      <sheetName val="LINE A"/>
      <sheetName val="LINE K"/>
      <sheetName val="Parameter"/>
      <sheetName val="iRUGO Event Validation"/>
      <sheetName val="MPM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Receiving_Inspection1"/>
      <sheetName val="Data_lists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期初B"/>
      <sheetName val="LAPL Act Trend"/>
      <sheetName val="BF3 MB cost _0708 from MSL"/>
      <sheetName val="WW Comet"/>
      <sheetName val="Keyb."/>
      <sheetName val="Common"/>
      <sheetName val="10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Matrix Name"/>
      <sheetName val="Transmission "/>
      <sheetName val="IDX"/>
      <sheetName val="major"/>
      <sheetName val="MFG1"/>
      <sheetName val="GRACE"/>
      <sheetName val="Material List"/>
      <sheetName val="ｴﾚｷ"/>
      <sheetName val="2015 MoM"/>
      <sheetName val="Sandler EK FBOM_A00"/>
      <sheetName val="C۽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</sheetPr>
  <dimension ref="B1:O80"/>
  <sheetViews>
    <sheetView showGridLines="0" topLeftCell="A31" zoomScale="70" zoomScaleNormal="70" workbookViewId="0">
      <selection activeCell="H31" sqref="H3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hidden="1" customWidth="1" outlineLevel="1"/>
    <col min="10" max="11" width="10.5" style="3" hidden="1" customWidth="1" outlineLevel="1"/>
    <col min="12" max="12" width="15.33203125" style="3" hidden="1" customWidth="1" outlineLevel="1"/>
    <col min="13" max="13" width="12.58203125" style="3" hidden="1" customWidth="1" outlineLevel="1"/>
    <col min="14" max="14" width="15.58203125" style="3" customWidth="1" collapsed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x14ac:dyDescent="0.35">
      <c r="B2" s="7" t="s">
        <v>13</v>
      </c>
      <c r="C2" s="123" t="s">
        <v>14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4</v>
      </c>
      <c r="D4" s="118">
        <v>0.26</v>
      </c>
      <c r="E4" s="12">
        <f>K15</f>
        <v>260</v>
      </c>
      <c r="F4" s="12">
        <f>K16</f>
        <v>120</v>
      </c>
      <c r="L4" s="6"/>
      <c r="M4" s="8"/>
    </row>
    <row r="5" spans="2:14" ht="18.75" customHeight="1" x14ac:dyDescent="0.35">
      <c r="B5" s="11"/>
      <c r="C5" s="117"/>
      <c r="D5" s="118"/>
      <c r="E5" s="12">
        <f>K29</f>
        <v>400</v>
      </c>
      <c r="F5" s="12">
        <f>K30</f>
        <v>184</v>
      </c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C21+C36+C56+C79+C42+C62+C68</f>
        <v>208.75</v>
      </c>
      <c r="D6" s="15">
        <f>(C6-F6)/0.8</f>
        <v>223.4375</v>
      </c>
      <c r="E6" s="16" t="s">
        <v>20</v>
      </c>
      <c r="F6" s="17">
        <f>VLOOKUP(E6,$B$68:$C$82,2,0)</f>
        <v>30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C22+C37+C57+C80+C43+C63+C69</f>
        <v>111.25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/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35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30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260</v>
      </c>
      <c r="L15" s="73">
        <v>5</v>
      </c>
      <c r="M15" s="74">
        <v>0.64400000000000002</v>
      </c>
    </row>
    <row r="16" spans="2:14" ht="18.75" customHeight="1" x14ac:dyDescent="0.35">
      <c r="B16" s="28" t="s">
        <v>36</v>
      </c>
      <c r="C16" s="29"/>
      <c r="D16" s="30">
        <v>30</v>
      </c>
      <c r="F16" s="31"/>
      <c r="G16" s="32">
        <v>1</v>
      </c>
      <c r="I16" s="70">
        <v>0.60099999999999998</v>
      </c>
      <c r="J16" s="71">
        <f>3600/I16/83000</f>
        <v>7.2168875167892901E-2</v>
      </c>
      <c r="K16" s="72">
        <v>120</v>
      </c>
      <c r="L16" s="73">
        <v>5</v>
      </c>
      <c r="M16" s="74">
        <v>0.35599999999999998</v>
      </c>
    </row>
    <row r="17" spans="2:13" ht="18.75" customHeight="1" x14ac:dyDescent="0.35">
      <c r="B17" s="28" t="s">
        <v>37</v>
      </c>
      <c r="C17" s="29"/>
      <c r="D17" s="30">
        <f>($D$4+0.15)/0.95*60</f>
        <v>25.894736842105299</v>
      </c>
      <c r="F17" s="31">
        <v>1</v>
      </c>
      <c r="G17" s="32"/>
      <c r="I17" s="75"/>
      <c r="J17" s="76"/>
      <c r="K17" s="4"/>
      <c r="L17" s="77"/>
      <c r="M17" s="65"/>
    </row>
    <row r="18" spans="2:13" ht="18.75" customHeight="1" x14ac:dyDescent="0.35">
      <c r="B18" s="28" t="s">
        <v>38</v>
      </c>
      <c r="C18" s="29"/>
      <c r="D18" s="30">
        <v>35</v>
      </c>
      <c r="F18" s="31"/>
      <c r="G18" s="32"/>
      <c r="I18" s="73" t="s">
        <v>39</v>
      </c>
      <c r="J18" s="78">
        <f>SUM(D15:D16)/(MAX(D15:D16)*COUNT(D15:D16))</f>
        <v>1</v>
      </c>
      <c r="K18" s="4"/>
      <c r="L18" s="23"/>
      <c r="M18" s="65"/>
    </row>
    <row r="19" spans="2:13" ht="18.75" customHeight="1" x14ac:dyDescent="0.35">
      <c r="B19" s="28" t="s">
        <v>40</v>
      </c>
      <c r="C19" s="29">
        <v>30</v>
      </c>
      <c r="D19" s="30"/>
      <c r="E19" s="34"/>
      <c r="F19" s="35"/>
      <c r="G19" s="36">
        <v>1</v>
      </c>
      <c r="H19" s="18"/>
      <c r="I19" s="23"/>
      <c r="J19" s="23"/>
      <c r="K19" s="65"/>
    </row>
    <row r="20" spans="2:13" ht="18.75" customHeight="1" x14ac:dyDescent="0.35">
      <c r="B20" s="37" t="s">
        <v>41</v>
      </c>
      <c r="C20" s="120">
        <f>MAX(D12:D19)</f>
        <v>35</v>
      </c>
      <c r="D20" s="120"/>
      <c r="E20" s="38"/>
      <c r="F20" s="31">
        <f>SUM(F12:F19)</f>
        <v>3</v>
      </c>
      <c r="G20" s="39">
        <f>SUM(G12:G19)</f>
        <v>5</v>
      </c>
      <c r="H20" s="40"/>
      <c r="I20" s="23"/>
      <c r="J20" s="23"/>
      <c r="K20" s="65"/>
    </row>
    <row r="21" spans="2:13" ht="18.75" customHeight="1" x14ac:dyDescent="0.35">
      <c r="B21" s="44" t="s">
        <v>91</v>
      </c>
      <c r="C21" s="111">
        <f>C20*G20/$C$4</f>
        <v>43.75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4" t="s">
        <v>42</v>
      </c>
      <c r="C22" s="111">
        <f>C20*F20/$C$4</f>
        <v>26.25</v>
      </c>
      <c r="D22" s="111"/>
      <c r="E22" s="42"/>
      <c r="G22" s="3"/>
      <c r="H22" s="43"/>
      <c r="J22" s="23"/>
      <c r="K22" s="65"/>
    </row>
    <row r="23" spans="2:13" ht="18.75" customHeight="1" x14ac:dyDescent="0.35">
      <c r="B23" s="45"/>
      <c r="C23" s="45"/>
      <c r="D23" s="45"/>
      <c r="E23" s="45"/>
      <c r="F23" s="45"/>
      <c r="G23" s="45"/>
      <c r="H23" s="45"/>
      <c r="I23" s="45"/>
      <c r="J23" s="23"/>
      <c r="K23" s="65"/>
    </row>
    <row r="24" spans="2:13" ht="18.75" customHeight="1" x14ac:dyDescent="0.35">
      <c r="B24" s="22" t="s">
        <v>43</v>
      </c>
      <c r="C24" s="19"/>
      <c r="D24" s="19"/>
      <c r="E24" s="19"/>
      <c r="F24" s="23"/>
      <c r="G24" s="24"/>
      <c r="H24" s="24"/>
      <c r="I24" s="23"/>
      <c r="J24" s="23"/>
      <c r="K24" s="65"/>
    </row>
    <row r="25" spans="2:13" ht="31" x14ac:dyDescent="0.3">
      <c r="B25" s="7" t="s">
        <v>22</v>
      </c>
      <c r="C25" s="25" t="s">
        <v>23</v>
      </c>
      <c r="D25" s="25" t="s">
        <v>24</v>
      </c>
      <c r="F25" s="26" t="s">
        <v>25</v>
      </c>
      <c r="G25" s="27" t="s">
        <v>26</v>
      </c>
      <c r="I25" s="66" t="s">
        <v>27</v>
      </c>
      <c r="J25" s="67" t="s">
        <v>28</v>
      </c>
      <c r="K25" s="68" t="s">
        <v>29</v>
      </c>
      <c r="L25" s="66" t="s">
        <v>30</v>
      </c>
      <c r="M25" s="66" t="s">
        <v>31</v>
      </c>
    </row>
    <row r="26" spans="2:13" ht="18.75" customHeight="1" x14ac:dyDescent="0.35">
      <c r="B26" s="28" t="s">
        <v>32</v>
      </c>
      <c r="C26" s="29">
        <v>30</v>
      </c>
      <c r="D26" s="30"/>
      <c r="F26" s="31"/>
      <c r="G26" s="32">
        <v>1</v>
      </c>
      <c r="I26" s="34"/>
      <c r="J26" s="23"/>
      <c r="K26" s="69"/>
      <c r="L26" s="23"/>
      <c r="M26" s="65"/>
    </row>
    <row r="27" spans="2:13" ht="18.75" customHeight="1" x14ac:dyDescent="0.35">
      <c r="B27" s="28" t="s">
        <v>33</v>
      </c>
      <c r="C27" s="29"/>
      <c r="D27" s="33">
        <v>35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34</v>
      </c>
      <c r="C28" s="29"/>
      <c r="D28" s="30">
        <v>30</v>
      </c>
      <c r="F28" s="31"/>
      <c r="G28" s="32"/>
      <c r="I28" s="34"/>
      <c r="J28" s="23"/>
      <c r="K28" s="69"/>
      <c r="L28" s="23"/>
      <c r="M28" s="65"/>
    </row>
    <row r="29" spans="2:13" ht="18.75" customHeight="1" x14ac:dyDescent="0.35">
      <c r="B29" s="28" t="s">
        <v>44</v>
      </c>
      <c r="C29" s="29"/>
      <c r="D29" s="30">
        <v>36</v>
      </c>
      <c r="F29" s="31">
        <v>1</v>
      </c>
      <c r="G29" s="32">
        <v>1</v>
      </c>
      <c r="I29" s="70">
        <v>0.63</v>
      </c>
      <c r="J29" s="71">
        <f>3600/I29/150000</f>
        <v>3.8095238095238099E-2</v>
      </c>
      <c r="K29" s="72">
        <v>400</v>
      </c>
      <c r="L29" s="73">
        <v>5</v>
      </c>
      <c r="M29" s="74">
        <v>0.64400000000000002</v>
      </c>
    </row>
    <row r="30" spans="2:13" ht="18.75" customHeight="1" x14ac:dyDescent="0.35">
      <c r="B30" s="28" t="s">
        <v>45</v>
      </c>
      <c r="C30" s="29"/>
      <c r="D30" s="30">
        <v>36</v>
      </c>
      <c r="F30" s="31">
        <v>1</v>
      </c>
      <c r="G30" s="32">
        <v>1</v>
      </c>
      <c r="I30" s="70">
        <v>0.60099999999999998</v>
      </c>
      <c r="J30" s="71">
        <f>3600/I30/83000</f>
        <v>7.2168875167892901E-2</v>
      </c>
      <c r="K30" s="72">
        <v>184</v>
      </c>
      <c r="L30" s="73">
        <v>5</v>
      </c>
      <c r="M30" s="74">
        <v>0.35599999999999998</v>
      </c>
    </row>
    <row r="31" spans="2:13" ht="18.75" customHeight="1" x14ac:dyDescent="0.35">
      <c r="B31" s="28" t="s">
        <v>37</v>
      </c>
      <c r="C31" s="29"/>
      <c r="D31" s="30">
        <f>($D$4+0.15)/0.95*60</f>
        <v>25.894736842105299</v>
      </c>
      <c r="F31" s="31">
        <v>1</v>
      </c>
      <c r="G31" s="32"/>
      <c r="I31" s="75"/>
      <c r="J31" s="76"/>
      <c r="K31" s="4"/>
      <c r="L31" s="77"/>
      <c r="M31" s="65"/>
    </row>
    <row r="32" spans="2:13" ht="18.75" customHeight="1" x14ac:dyDescent="0.35">
      <c r="B32" s="28" t="s">
        <v>38</v>
      </c>
      <c r="C32" s="29"/>
      <c r="D32" s="30">
        <v>35</v>
      </c>
      <c r="F32" s="31">
        <v>1</v>
      </c>
      <c r="G32" s="32"/>
      <c r="I32" s="73" t="s">
        <v>39</v>
      </c>
      <c r="J32" s="78">
        <f>SUM(D29:D30)/(MAX(D29:D30)*COUNT(D29:D30))</f>
        <v>1</v>
      </c>
      <c r="K32" s="4"/>
      <c r="L32" s="23"/>
      <c r="M32" s="65"/>
    </row>
    <row r="33" spans="2:15" ht="18.75" customHeight="1" x14ac:dyDescent="0.35">
      <c r="B33" s="28" t="s">
        <v>46</v>
      </c>
      <c r="C33" s="29">
        <v>30</v>
      </c>
      <c r="D33" s="30"/>
      <c r="E33" s="34"/>
      <c r="F33" s="35"/>
      <c r="G33" s="36">
        <v>1</v>
      </c>
      <c r="H33" s="18"/>
      <c r="I33" s="23"/>
      <c r="J33" s="23"/>
      <c r="K33" s="65"/>
    </row>
    <row r="34" spans="2:15" ht="18.75" customHeight="1" x14ac:dyDescent="0.35">
      <c r="B34" s="28" t="s">
        <v>40</v>
      </c>
      <c r="C34" s="29">
        <v>30</v>
      </c>
      <c r="D34" s="30"/>
      <c r="E34" s="34"/>
      <c r="F34" s="35"/>
      <c r="G34" s="36">
        <v>1</v>
      </c>
      <c r="H34" s="18"/>
      <c r="I34" s="23"/>
      <c r="J34" s="23"/>
      <c r="K34" s="65"/>
    </row>
    <row r="35" spans="2:15" ht="18.75" customHeight="1" x14ac:dyDescent="0.35">
      <c r="B35" s="37" t="s">
        <v>41</v>
      </c>
      <c r="C35" s="120">
        <f>MAX(D26:D34)</f>
        <v>36</v>
      </c>
      <c r="D35" s="120"/>
      <c r="E35" s="38"/>
      <c r="F35" s="31">
        <f>SUM(F26:F34)</f>
        <v>5</v>
      </c>
      <c r="G35" s="39">
        <f>SUM(G26:G34)</f>
        <v>5</v>
      </c>
      <c r="H35" s="40"/>
      <c r="I35" s="23"/>
      <c r="J35" s="23"/>
      <c r="K35" s="65"/>
    </row>
    <row r="36" spans="2:15" ht="18.75" customHeight="1" x14ac:dyDescent="0.35">
      <c r="B36" s="44" t="s">
        <v>92</v>
      </c>
      <c r="C36" s="111">
        <f>C35*G35/$C$4</f>
        <v>45</v>
      </c>
      <c r="D36" s="111"/>
      <c r="E36" s="42"/>
      <c r="G36" s="3"/>
      <c r="H36" s="43"/>
      <c r="J36" s="23"/>
      <c r="K36" s="65"/>
    </row>
    <row r="37" spans="2:15" ht="18.75" customHeight="1" x14ac:dyDescent="0.35">
      <c r="B37" s="41" t="s">
        <v>42</v>
      </c>
      <c r="C37" s="111">
        <f>C35*F35/$C$4</f>
        <v>45</v>
      </c>
      <c r="D37" s="111"/>
      <c r="E37" s="42"/>
      <c r="G37" s="3"/>
      <c r="H37" s="43"/>
      <c r="J37" s="23"/>
      <c r="K37" s="65"/>
    </row>
    <row r="38" spans="2:15" ht="18.75" customHeight="1" x14ac:dyDescent="0.35">
      <c r="B38" s="45"/>
      <c r="C38" s="45"/>
      <c r="D38" s="45"/>
      <c r="E38" s="45"/>
      <c r="F38" s="45"/>
      <c r="G38" s="45"/>
      <c r="H38" s="45"/>
      <c r="I38" s="45"/>
      <c r="J38" s="23"/>
      <c r="K38" s="65"/>
    </row>
    <row r="39" spans="2:15" ht="18.75" customHeight="1" x14ac:dyDescent="0.35">
      <c r="B39" s="22" t="s">
        <v>47</v>
      </c>
      <c r="C39" s="19"/>
      <c r="D39" s="19"/>
      <c r="E39" s="19"/>
      <c r="F39" s="23"/>
      <c r="G39" s="24"/>
      <c r="H39" s="24"/>
      <c r="I39" s="23"/>
      <c r="J39" s="23"/>
      <c r="K39" s="65"/>
    </row>
    <row r="40" spans="2:15" ht="31" x14ac:dyDescent="0.3">
      <c r="B40" s="7" t="s">
        <v>22</v>
      </c>
      <c r="C40" s="25" t="s">
        <v>48</v>
      </c>
      <c r="D40" s="25" t="s">
        <v>49</v>
      </c>
      <c r="F40" s="26" t="s">
        <v>25</v>
      </c>
      <c r="G40" s="27" t="s">
        <v>26</v>
      </c>
      <c r="I40" s="79"/>
      <c r="J40" s="79"/>
      <c r="K40" s="80"/>
      <c r="L40" s="79"/>
      <c r="M40" s="79"/>
    </row>
    <row r="41" spans="2:15" ht="18.75" customHeight="1" x14ac:dyDescent="0.35">
      <c r="B41" s="28" t="s">
        <v>47</v>
      </c>
      <c r="C41" s="29">
        <v>120</v>
      </c>
      <c r="D41" s="30">
        <f>C41*F41/G41</f>
        <v>0</v>
      </c>
      <c r="F41" s="31"/>
      <c r="G41" s="32">
        <v>1</v>
      </c>
      <c r="I41" s="34"/>
      <c r="J41" s="23"/>
      <c r="K41" s="69"/>
      <c r="L41" s="23"/>
      <c r="M41" s="65"/>
      <c r="O41" s="81"/>
    </row>
    <row r="42" spans="2:15" ht="18.75" customHeight="1" x14ac:dyDescent="0.35">
      <c r="B42" s="41" t="s">
        <v>7</v>
      </c>
      <c r="C42" s="111">
        <f>SUM(C41:C41)/$C$4</f>
        <v>30</v>
      </c>
      <c r="D42" s="111"/>
      <c r="E42" s="42"/>
      <c r="G42" s="43"/>
      <c r="H42" s="43"/>
      <c r="J42" s="23"/>
      <c r="K42" s="65"/>
    </row>
    <row r="43" spans="2:15" ht="18.75" customHeight="1" x14ac:dyDescent="0.35">
      <c r="B43" s="44" t="s">
        <v>42</v>
      </c>
      <c r="C43" s="111">
        <f>SUM(D41:D41)/$C$4</f>
        <v>0</v>
      </c>
      <c r="D43" s="111"/>
      <c r="E43" s="42"/>
      <c r="G43" s="43"/>
      <c r="H43" s="43"/>
      <c r="J43" s="23"/>
      <c r="K43" s="65"/>
    </row>
    <row r="44" spans="2:15" ht="18.75" customHeight="1" x14ac:dyDescent="0.35">
      <c r="B44" s="45"/>
      <c r="C44" s="45"/>
      <c r="D44" s="45"/>
      <c r="E44" s="45"/>
      <c r="F44" s="45"/>
      <c r="G44" s="45"/>
      <c r="H44" s="45"/>
      <c r="I44" s="45"/>
      <c r="J44" s="23"/>
      <c r="K44" s="65"/>
    </row>
    <row r="45" spans="2:15" s="2" customFormat="1" ht="18.75" customHeight="1" x14ac:dyDescent="0.45">
      <c r="B45" s="46" t="s">
        <v>50</v>
      </c>
      <c r="C45" s="47"/>
      <c r="D45" s="48"/>
      <c r="E45" s="48"/>
      <c r="F45" s="48"/>
      <c r="G45" s="49"/>
      <c r="H45" s="49"/>
      <c r="I45" s="82"/>
      <c r="J45" s="48"/>
      <c r="K45" s="48"/>
      <c r="L45" s="48"/>
    </row>
    <row r="46" spans="2:15" s="2" customFormat="1" ht="37" x14ac:dyDescent="0.3">
      <c r="B46" s="7" t="s">
        <v>22</v>
      </c>
      <c r="C46" s="25" t="s">
        <v>51</v>
      </c>
      <c r="D46" s="25" t="s">
        <v>52</v>
      </c>
      <c r="F46" s="50" t="s">
        <v>25</v>
      </c>
      <c r="G46" s="51" t="s">
        <v>26</v>
      </c>
      <c r="H46" s="52"/>
      <c r="I46" s="83"/>
      <c r="J46" s="84" t="s">
        <v>53</v>
      </c>
      <c r="K46" s="85" t="s">
        <v>54</v>
      </c>
      <c r="L46" s="84" t="s">
        <v>55</v>
      </c>
      <c r="M46" s="84" t="s">
        <v>56</v>
      </c>
      <c r="N46" s="84" t="s">
        <v>57</v>
      </c>
    </row>
    <row r="47" spans="2:15" s="2" customFormat="1" ht="18.75" customHeight="1" x14ac:dyDescent="0.45">
      <c r="B47" s="28" t="s">
        <v>58</v>
      </c>
      <c r="C47" s="29"/>
      <c r="D47" s="29">
        <f>C47/L47</f>
        <v>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0</v>
      </c>
      <c r="N47" s="91"/>
    </row>
    <row r="48" spans="2:15" s="2" customFormat="1" ht="18.75" customHeight="1" x14ac:dyDescent="0.45">
      <c r="B48" s="28" t="s">
        <v>60</v>
      </c>
      <c r="C48" s="29"/>
      <c r="D48" s="29" t="e">
        <f>C48/L48</f>
        <v>#DIV/0!</v>
      </c>
      <c r="F48" s="53"/>
      <c r="G48" s="54" t="e">
        <f>L48</f>
        <v>#DIV/0!</v>
      </c>
      <c r="H48" s="52"/>
      <c r="I48" s="86" t="s">
        <v>59</v>
      </c>
      <c r="J48" s="87" t="e">
        <f>ROUNDUP(C48/$C$50,0)</f>
        <v>#DIV/0!</v>
      </c>
      <c r="K48" s="88">
        <f>5*4</f>
        <v>20</v>
      </c>
      <c r="L48" s="89" t="e">
        <f>IF(J48&gt;10,10,J48)</f>
        <v>#DIV/0!</v>
      </c>
      <c r="M48" s="90" t="e">
        <f>C48/L48</f>
        <v>#DIV/0!</v>
      </c>
      <c r="N48" s="91">
        <v>1</v>
      </c>
    </row>
    <row r="49" spans="2:15" s="2" customFormat="1" ht="18.75" customHeight="1" x14ac:dyDescent="0.45">
      <c r="B49" s="55" t="s">
        <v>61</v>
      </c>
      <c r="C49" s="29"/>
      <c r="D49" s="29">
        <f>C49/L49</f>
        <v>0</v>
      </c>
      <c r="F49" s="53"/>
      <c r="G49" s="54">
        <f>L49</f>
        <v>1</v>
      </c>
      <c r="H49" s="52"/>
      <c r="I49" s="86" t="s">
        <v>59</v>
      </c>
      <c r="J49" s="87">
        <v>1</v>
      </c>
      <c r="K49" s="88"/>
      <c r="L49" s="89">
        <v>1</v>
      </c>
      <c r="M49" s="90">
        <f>C49/L49</f>
        <v>0</v>
      </c>
      <c r="N49" s="91"/>
    </row>
    <row r="50" spans="2:15" s="2" customFormat="1" ht="18.75" customHeight="1" x14ac:dyDescent="0.45">
      <c r="B50" s="28" t="s">
        <v>62</v>
      </c>
      <c r="C50" s="29"/>
      <c r="D50" s="29">
        <f>C50</f>
        <v>0</v>
      </c>
      <c r="F50" s="53">
        <v>1</v>
      </c>
      <c r="G50" s="54">
        <f t="shared" ref="G50:G51" si="0">L50</f>
        <v>0</v>
      </c>
      <c r="H50" s="52"/>
      <c r="I50" s="86"/>
      <c r="J50" s="87"/>
      <c r="K50" s="88"/>
      <c r="L50" s="89"/>
      <c r="M50" s="90">
        <f>D50</f>
        <v>0</v>
      </c>
      <c r="N50" s="91"/>
    </row>
    <row r="51" spans="2:15" s="2" customFormat="1" ht="18.75" customHeight="1" x14ac:dyDescent="0.45">
      <c r="B51" s="56" t="s">
        <v>63</v>
      </c>
      <c r="C51" s="29"/>
      <c r="D51" s="29">
        <f>C51/G51</f>
        <v>0</v>
      </c>
      <c r="F51" s="53"/>
      <c r="G51" s="54">
        <f t="shared" si="0"/>
        <v>1</v>
      </c>
      <c r="H51" s="52"/>
      <c r="I51" s="86" t="s">
        <v>59</v>
      </c>
      <c r="J51" s="87" t="e">
        <f>ROUNDUP(C51/$C$50,0)</f>
        <v>#DIV/0!</v>
      </c>
      <c r="K51" s="88"/>
      <c r="L51" s="89">
        <v>1</v>
      </c>
      <c r="M51" s="90">
        <f>C51/L51</f>
        <v>0</v>
      </c>
      <c r="N51" s="91"/>
    </row>
    <row r="52" spans="2:15" s="2" customFormat="1" ht="18.75" customHeight="1" x14ac:dyDescent="0.45">
      <c r="B52" s="28" t="s">
        <v>64</v>
      </c>
      <c r="C52" s="29"/>
      <c r="D52" s="29">
        <f t="shared" ref="D52:D55" si="1">C52/G52</f>
        <v>0</v>
      </c>
      <c r="F52" s="53"/>
      <c r="G52" s="54">
        <v>1</v>
      </c>
      <c r="H52" s="52"/>
      <c r="I52" s="86" t="s">
        <v>59</v>
      </c>
      <c r="J52" s="87" t="e">
        <f>ROUNDUP(C52/$C$50,0)</f>
        <v>#DIV/0!</v>
      </c>
      <c r="K52" s="88"/>
      <c r="L52" s="89">
        <v>1</v>
      </c>
      <c r="M52" s="90">
        <f t="shared" ref="M52:M55" si="2">C52/L52</f>
        <v>0</v>
      </c>
      <c r="N52" s="91"/>
    </row>
    <row r="53" spans="2:15" s="2" customFormat="1" ht="18.75" customHeight="1" x14ac:dyDescent="0.45">
      <c r="B53" s="28" t="s">
        <v>65</v>
      </c>
      <c r="C53" s="29"/>
      <c r="D53" s="29">
        <f t="shared" si="1"/>
        <v>0</v>
      </c>
      <c r="F53" s="53"/>
      <c r="G53" s="54">
        <v>1</v>
      </c>
      <c r="H53" s="52"/>
      <c r="I53" s="86" t="s">
        <v>59</v>
      </c>
      <c r="J53" s="87" t="e">
        <f>ROUNDUP(C53/$C$50,0)</f>
        <v>#DIV/0!</v>
      </c>
      <c r="K53" s="88"/>
      <c r="L53" s="89">
        <v>1</v>
      </c>
      <c r="M53" s="90">
        <f t="shared" si="2"/>
        <v>0</v>
      </c>
      <c r="N53" s="91"/>
    </row>
    <row r="54" spans="2:15" s="2" customFormat="1" ht="18.75" customHeight="1" x14ac:dyDescent="0.45">
      <c r="B54" s="28" t="s">
        <v>66</v>
      </c>
      <c r="C54" s="29"/>
      <c r="D54" s="29">
        <f t="shared" si="1"/>
        <v>0</v>
      </c>
      <c r="F54" s="53"/>
      <c r="G54" s="54">
        <v>1</v>
      </c>
      <c r="H54" s="52"/>
      <c r="I54" s="86" t="s">
        <v>59</v>
      </c>
      <c r="J54" s="87" t="e">
        <f>ROUNDUP(C54/$C$50,0)</f>
        <v>#DIV/0!</v>
      </c>
      <c r="K54" s="88"/>
      <c r="L54" s="89">
        <v>1</v>
      </c>
      <c r="M54" s="90">
        <f t="shared" si="2"/>
        <v>0</v>
      </c>
      <c r="N54" s="91"/>
    </row>
    <row r="55" spans="2:15" s="2" customFormat="1" ht="18.75" customHeight="1" x14ac:dyDescent="0.45">
      <c r="B55" s="28" t="s">
        <v>67</v>
      </c>
      <c r="C55" s="29"/>
      <c r="D55" s="29">
        <f t="shared" si="1"/>
        <v>0</v>
      </c>
      <c r="F55" s="53"/>
      <c r="G55" s="54">
        <v>2</v>
      </c>
      <c r="H55" s="52"/>
      <c r="I55" s="86" t="s">
        <v>59</v>
      </c>
      <c r="J55" s="87" t="e">
        <f>ROUNDUP(C55/$C$50,0)</f>
        <v>#DIV/0!</v>
      </c>
      <c r="K55" s="88"/>
      <c r="L55" s="89">
        <v>4</v>
      </c>
      <c r="M55" s="90">
        <f t="shared" si="2"/>
        <v>0</v>
      </c>
      <c r="N55" s="91"/>
    </row>
    <row r="56" spans="2:15" s="2" customFormat="1" ht="18.75" customHeight="1" x14ac:dyDescent="0.45">
      <c r="B56" s="41" t="s">
        <v>6</v>
      </c>
      <c r="C56" s="111"/>
      <c r="D56" s="111"/>
      <c r="E56" s="57"/>
      <c r="F56" s="2">
        <f>SUM(F47:F55)</f>
        <v>1</v>
      </c>
      <c r="G56" s="2" t="e">
        <f>SUM(G47:G55)</f>
        <v>#DIV/0!</v>
      </c>
      <c r="H56" s="52"/>
      <c r="I56" s="86" t="s">
        <v>68</v>
      </c>
      <c r="J56" s="87" t="e">
        <f>SUM(J47:J55)</f>
        <v>#DIV/0!</v>
      </c>
      <c r="K56" s="88"/>
      <c r="L56" s="92" t="e">
        <f>SUM(L47:L55)</f>
        <v>#DIV/0!</v>
      </c>
      <c r="M56" s="93" t="e">
        <f>MAX(M47:M55)*L56</f>
        <v>#DIV/0!</v>
      </c>
      <c r="N56" s="89"/>
    </row>
    <row r="57" spans="2:15" s="2" customFormat="1" ht="18.75" customHeight="1" x14ac:dyDescent="0.45">
      <c r="B57" s="58" t="s">
        <v>42</v>
      </c>
      <c r="C57" s="111"/>
      <c r="D57" s="111"/>
      <c r="E57" s="59"/>
      <c r="F57" s="60"/>
      <c r="G57" s="61"/>
      <c r="H57" s="61"/>
      <c r="I57" s="94"/>
      <c r="J57" s="60"/>
      <c r="K57" s="60"/>
      <c r="L57" s="60"/>
    </row>
    <row r="59" spans="2:15" ht="18.75" customHeight="1" x14ac:dyDescent="0.35">
      <c r="B59" s="22" t="s">
        <v>69</v>
      </c>
      <c r="C59" s="19"/>
      <c r="D59" s="19"/>
      <c r="E59" s="19"/>
      <c r="F59" s="23"/>
      <c r="G59" s="24"/>
      <c r="H59" s="24"/>
      <c r="I59" s="23"/>
      <c r="J59" s="23"/>
      <c r="K59" s="65"/>
    </row>
    <row r="60" spans="2:15" ht="31" x14ac:dyDescent="0.3">
      <c r="B60" s="7" t="s">
        <v>22</v>
      </c>
      <c r="C60" s="25" t="s">
        <v>48</v>
      </c>
      <c r="D60" s="25" t="s">
        <v>49</v>
      </c>
      <c r="F60" s="26" t="s">
        <v>25</v>
      </c>
      <c r="G60" s="27" t="s">
        <v>26</v>
      </c>
      <c r="I60" s="79"/>
      <c r="J60" s="79"/>
      <c r="K60" s="80"/>
      <c r="L60" s="79"/>
      <c r="M60" s="79"/>
    </row>
    <row r="61" spans="2:15" ht="18.75" customHeight="1" x14ac:dyDescent="0.35">
      <c r="B61" s="28" t="s">
        <v>69</v>
      </c>
      <c r="C61" s="29">
        <v>0</v>
      </c>
      <c r="D61" s="30">
        <f>C61*F61</f>
        <v>0</v>
      </c>
      <c r="F61" s="31">
        <v>1</v>
      </c>
      <c r="G61" s="32">
        <v>1</v>
      </c>
      <c r="I61" s="34"/>
      <c r="J61" s="23"/>
      <c r="K61" s="69"/>
      <c r="L61" s="23"/>
      <c r="M61" s="65"/>
      <c r="O61" s="81"/>
    </row>
    <row r="62" spans="2:15" ht="18.75" customHeight="1" x14ac:dyDescent="0.35">
      <c r="B62" s="41" t="s">
        <v>8</v>
      </c>
      <c r="C62" s="111">
        <f>SUM(C61:C61)*G61/$C$4</f>
        <v>0</v>
      </c>
      <c r="D62" s="111"/>
      <c r="E62" s="42"/>
      <c r="G62" s="43"/>
      <c r="H62" s="43"/>
      <c r="J62" s="23"/>
      <c r="K62" s="65"/>
    </row>
    <row r="63" spans="2:15" ht="18.75" customHeight="1" x14ac:dyDescent="0.35">
      <c r="B63" s="44" t="s">
        <v>42</v>
      </c>
      <c r="C63" s="111">
        <f>SUM(D61:D61)/$C$4</f>
        <v>0</v>
      </c>
      <c r="D63" s="111"/>
      <c r="E63" s="42"/>
      <c r="G63" s="43"/>
      <c r="H63" s="43"/>
      <c r="J63" s="23"/>
      <c r="K63" s="65"/>
    </row>
    <row r="64" spans="2:15" ht="18.75" customHeight="1" x14ac:dyDescent="0.35">
      <c r="B64" s="45"/>
      <c r="C64" s="45"/>
      <c r="D64" s="45"/>
      <c r="E64" s="45"/>
      <c r="F64" s="45"/>
      <c r="G64" s="45"/>
      <c r="H64" s="45"/>
      <c r="I64" s="45"/>
      <c r="J64" s="23"/>
      <c r="K64" s="65"/>
    </row>
    <row r="65" spans="2:15" ht="18.75" customHeight="1" x14ac:dyDescent="0.4">
      <c r="B65" s="62" t="s">
        <v>70</v>
      </c>
      <c r="C65" s="19"/>
      <c r="D65" s="19"/>
      <c r="E65" s="19"/>
      <c r="F65" s="23"/>
      <c r="G65" s="24"/>
      <c r="H65" s="24"/>
      <c r="I65" s="23"/>
      <c r="J65" s="23"/>
      <c r="K65" s="65"/>
    </row>
    <row r="66" spans="2:15" ht="31" x14ac:dyDescent="0.3">
      <c r="B66" s="7" t="s">
        <v>22</v>
      </c>
      <c r="C66" s="25" t="s">
        <v>48</v>
      </c>
      <c r="D66" s="25" t="s">
        <v>49</v>
      </c>
      <c r="F66" s="26" t="s">
        <v>25</v>
      </c>
      <c r="G66" s="27" t="s">
        <v>26</v>
      </c>
      <c r="I66" s="79"/>
      <c r="J66" s="79"/>
      <c r="K66" s="80"/>
      <c r="L66" s="79"/>
      <c r="M66" s="79"/>
    </row>
    <row r="67" spans="2:15" ht="18.75" customHeight="1" x14ac:dyDescent="0.35">
      <c r="B67" s="55" t="s">
        <v>70</v>
      </c>
      <c r="C67" s="29">
        <v>0</v>
      </c>
      <c r="D67" s="30">
        <f>C67*F67</f>
        <v>0</v>
      </c>
      <c r="F67" s="31"/>
      <c r="G67" s="32">
        <v>1</v>
      </c>
      <c r="I67" s="34"/>
      <c r="J67" s="23"/>
      <c r="K67" s="69"/>
      <c r="L67" s="23"/>
      <c r="M67" s="65"/>
      <c r="O67" s="81"/>
    </row>
    <row r="68" spans="2:15" ht="18.75" customHeight="1" x14ac:dyDescent="0.35">
      <c r="B68" s="41" t="s">
        <v>9</v>
      </c>
      <c r="C68" s="111">
        <f>SUM(C67:C67)*G67/$C$4</f>
        <v>0</v>
      </c>
      <c r="D68" s="111"/>
      <c r="E68" s="42"/>
      <c r="G68" s="43"/>
      <c r="H68" s="43"/>
      <c r="J68" s="23"/>
      <c r="K68" s="65"/>
    </row>
    <row r="69" spans="2:15" ht="18.75" customHeight="1" x14ac:dyDescent="0.35">
      <c r="B69" s="44" t="s">
        <v>42</v>
      </c>
      <c r="C69" s="111">
        <f>SUM(D67:D67)/$C$4</f>
        <v>0</v>
      </c>
      <c r="D69" s="111"/>
      <c r="E69" s="42"/>
      <c r="G69" s="43"/>
      <c r="H69" s="43"/>
      <c r="J69" s="23"/>
      <c r="K69" s="65"/>
    </row>
    <row r="70" spans="2:15" ht="18.75" customHeight="1" x14ac:dyDescent="0.35">
      <c r="B70" s="45"/>
      <c r="C70" s="45"/>
      <c r="D70" s="45"/>
      <c r="E70" s="45"/>
      <c r="F70" s="45"/>
      <c r="G70" s="45"/>
      <c r="H70" s="45"/>
      <c r="I70" s="45"/>
      <c r="J70" s="23"/>
      <c r="K70" s="65"/>
    </row>
    <row r="71" spans="2:15" x14ac:dyDescent="0.35">
      <c r="B71" s="95" t="s">
        <v>71</v>
      </c>
      <c r="C71" s="96"/>
      <c r="D71" s="96"/>
      <c r="E71" s="96"/>
      <c r="F71" s="97"/>
      <c r="G71" s="98"/>
      <c r="H71" s="99"/>
      <c r="I71" s="99"/>
      <c r="J71" s="99"/>
      <c r="K71" s="99"/>
      <c r="L71" s="99"/>
      <c r="M71" s="99"/>
      <c r="N71" s="99"/>
    </row>
    <row r="72" spans="2:15" ht="31" x14ac:dyDescent="0.35">
      <c r="B72" s="7" t="s">
        <v>22</v>
      </c>
      <c r="C72" s="25" t="s">
        <v>48</v>
      </c>
      <c r="D72" s="25" t="s">
        <v>49</v>
      </c>
      <c r="E72" s="100"/>
      <c r="F72" s="26" t="s">
        <v>25</v>
      </c>
      <c r="G72" s="27" t="s">
        <v>26</v>
      </c>
      <c r="H72" s="99"/>
      <c r="I72" s="99"/>
      <c r="J72" s="99"/>
      <c r="K72" s="99"/>
      <c r="L72" s="99"/>
      <c r="M72" s="99"/>
      <c r="N72" s="99"/>
    </row>
    <row r="73" spans="2:15" ht="20.25" customHeight="1" x14ac:dyDescent="0.35">
      <c r="B73" s="101" t="s">
        <v>2</v>
      </c>
      <c r="C73" s="102">
        <v>30</v>
      </c>
      <c r="D73" s="103">
        <f>C73*F73</f>
        <v>30</v>
      </c>
      <c r="E73" s="100"/>
      <c r="F73" s="104">
        <v>1</v>
      </c>
      <c r="G73" s="105">
        <v>1</v>
      </c>
      <c r="H73" s="99"/>
      <c r="I73" s="99"/>
      <c r="J73" s="99"/>
      <c r="K73" s="99"/>
      <c r="L73" s="99"/>
      <c r="M73" s="99"/>
      <c r="N73" s="99"/>
    </row>
    <row r="74" spans="2:15" ht="20.25" customHeight="1" x14ac:dyDescent="0.35">
      <c r="B74" s="106" t="s">
        <v>72</v>
      </c>
      <c r="C74" s="102"/>
      <c r="D74" s="103"/>
      <c r="E74" s="100"/>
      <c r="F74" s="104"/>
      <c r="G74" s="105">
        <v>1</v>
      </c>
      <c r="H74" s="99"/>
      <c r="I74" s="99"/>
      <c r="J74" s="99"/>
      <c r="K74" s="99"/>
      <c r="L74" s="99"/>
      <c r="M74" s="99"/>
      <c r="N74" s="99"/>
    </row>
    <row r="75" spans="2:15" ht="20.25" customHeight="1" x14ac:dyDescent="0.35">
      <c r="B75" s="106" t="s">
        <v>11</v>
      </c>
      <c r="C75" s="102"/>
      <c r="D75" s="103"/>
      <c r="E75" s="100"/>
      <c r="F75" s="104"/>
      <c r="G75" s="105"/>
      <c r="H75" s="99"/>
      <c r="I75" s="99"/>
      <c r="J75" s="99"/>
      <c r="K75" s="99"/>
      <c r="L75" s="99"/>
      <c r="M75" s="99"/>
      <c r="N75" s="99"/>
    </row>
    <row r="76" spans="2:15" ht="20.25" customHeight="1" x14ac:dyDescent="0.35">
      <c r="B76" s="106" t="s">
        <v>73</v>
      </c>
      <c r="C76" s="102">
        <f>D76*G76/F76</f>
        <v>20</v>
      </c>
      <c r="D76" s="102">
        <v>10</v>
      </c>
      <c r="E76" s="100"/>
      <c r="F76" s="104">
        <v>1</v>
      </c>
      <c r="G76" s="105">
        <v>2</v>
      </c>
      <c r="H76" s="99"/>
      <c r="I76" s="99"/>
      <c r="J76" s="99"/>
      <c r="K76" s="99"/>
      <c r="L76" s="99"/>
      <c r="M76" s="99"/>
      <c r="N76" s="99"/>
    </row>
    <row r="77" spans="2:15" ht="20.25" customHeight="1" x14ac:dyDescent="0.35">
      <c r="B77" s="106" t="s">
        <v>74</v>
      </c>
      <c r="C77" s="102">
        <f>D76*G77/F76</f>
        <v>20</v>
      </c>
      <c r="D77" s="103"/>
      <c r="E77" s="100"/>
      <c r="F77" s="104"/>
      <c r="G77" s="105">
        <v>2</v>
      </c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106" t="s">
        <v>75</v>
      </c>
      <c r="C78" s="102">
        <f>D76*G78/F76</f>
        <v>20</v>
      </c>
      <c r="D78" s="103"/>
      <c r="E78" s="100"/>
      <c r="F78" s="104"/>
      <c r="G78" s="105">
        <v>2</v>
      </c>
      <c r="H78" s="99"/>
      <c r="I78" s="99"/>
      <c r="J78" s="99"/>
      <c r="K78" s="99"/>
      <c r="L78" s="99"/>
      <c r="M78" s="99"/>
      <c r="N78" s="99"/>
    </row>
    <row r="79" spans="2:15" ht="20.25" customHeight="1" x14ac:dyDescent="0.35">
      <c r="B79" s="41" t="s">
        <v>10</v>
      </c>
      <c r="C79" s="112">
        <f>SUM(C73:C78)</f>
        <v>90</v>
      </c>
      <c r="D79" s="113"/>
      <c r="E79" s="107"/>
      <c r="F79" s="100"/>
      <c r="G79" s="108"/>
      <c r="H79" s="99"/>
      <c r="I79" s="99"/>
      <c r="J79" s="99"/>
      <c r="K79" s="99"/>
      <c r="L79" s="99"/>
      <c r="M79" s="99"/>
      <c r="N79" s="99"/>
    </row>
    <row r="80" spans="2:15" ht="20.25" customHeight="1" x14ac:dyDescent="0.35">
      <c r="B80" s="109" t="s">
        <v>42</v>
      </c>
      <c r="C80" s="112">
        <f>SUM(D73:D78)</f>
        <v>40</v>
      </c>
      <c r="D80" s="113"/>
      <c r="E80" s="107"/>
      <c r="F80" s="100"/>
      <c r="G80" s="108"/>
      <c r="H80" s="99"/>
      <c r="I80" s="99"/>
      <c r="J80" s="99"/>
      <c r="K80" s="99"/>
      <c r="L80" s="99"/>
      <c r="M80" s="99"/>
      <c r="N80" s="99"/>
    </row>
  </sheetData>
  <mergeCells count="22">
    <mergeCell ref="C43:D43"/>
    <mergeCell ref="B1:F1"/>
    <mergeCell ref="C2:F2"/>
    <mergeCell ref="C20:D20"/>
    <mergeCell ref="C21:D21"/>
    <mergeCell ref="C22:D22"/>
    <mergeCell ref="C69:D69"/>
    <mergeCell ref="C79:D79"/>
    <mergeCell ref="C80:D80"/>
    <mergeCell ref="B3:B4"/>
    <mergeCell ref="C4:C5"/>
    <mergeCell ref="D4:D5"/>
    <mergeCell ref="B8:G9"/>
    <mergeCell ref="C56:D56"/>
    <mergeCell ref="C57:D57"/>
    <mergeCell ref="C62:D62"/>
    <mergeCell ref="C63:D63"/>
    <mergeCell ref="C68:D68"/>
    <mergeCell ref="C35:D35"/>
    <mergeCell ref="C36:D36"/>
    <mergeCell ref="C37:D37"/>
    <mergeCell ref="C42:D42"/>
  </mergeCells>
  <phoneticPr fontId="3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FF00"/>
  </sheetPr>
  <dimension ref="B1:O80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customWidth="1" outlineLevel="1"/>
    <col min="10" max="11" width="10.5" style="3" customWidth="1" outlineLevel="1"/>
    <col min="12" max="12" width="15.33203125" style="3" customWidth="1" outlineLevel="1"/>
    <col min="13" max="13" width="12.58203125" style="3" customWidth="1" outlineLevel="1"/>
    <col min="14" max="14" width="15.58203125" style="3" customWidth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x14ac:dyDescent="0.35">
      <c r="B2" s="7" t="s">
        <v>13</v>
      </c>
      <c r="C2" s="123" t="s">
        <v>76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4</v>
      </c>
      <c r="D4" s="118">
        <v>0.26</v>
      </c>
      <c r="E4" s="12">
        <f>K15</f>
        <v>216</v>
      </c>
      <c r="F4" s="12">
        <f>K16</f>
        <v>100</v>
      </c>
      <c r="L4" s="6"/>
      <c r="M4" s="8"/>
    </row>
    <row r="5" spans="2:14" ht="18.75" customHeight="1" x14ac:dyDescent="0.35">
      <c r="B5" s="11"/>
      <c r="C5" s="117"/>
      <c r="D5" s="118"/>
      <c r="E5" s="12">
        <f>K29</f>
        <v>360</v>
      </c>
      <c r="F5" s="12">
        <f>K30</f>
        <v>152</v>
      </c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C21+C36+C56+C79+C42+C62+C68</f>
        <v>312.5</v>
      </c>
      <c r="D6" s="15">
        <f>(C6-F6)/0.8</f>
        <v>353.125</v>
      </c>
      <c r="E6" s="16" t="s">
        <v>20</v>
      </c>
      <c r="F6" s="17">
        <f>VLOOKUP(E6,$B$68:$C$82,2,0)</f>
        <v>30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C22+C37+C57+C80+C43+C63+C69</f>
        <v>110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/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35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26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216</v>
      </c>
      <c r="L15" s="73">
        <v>5</v>
      </c>
      <c r="M15" s="74">
        <v>0.64400000000000002</v>
      </c>
    </row>
    <row r="16" spans="2:14" ht="18.75" customHeight="1" x14ac:dyDescent="0.35">
      <c r="B16" s="28" t="s">
        <v>36</v>
      </c>
      <c r="C16" s="29"/>
      <c r="D16" s="30">
        <v>26</v>
      </c>
      <c r="F16" s="31"/>
      <c r="G16" s="32">
        <v>1</v>
      </c>
      <c r="I16" s="70">
        <v>0.60099999999999998</v>
      </c>
      <c r="J16" s="71">
        <f>3600/I16/83000</f>
        <v>7.2168875167892901E-2</v>
      </c>
      <c r="K16" s="72">
        <v>100</v>
      </c>
      <c r="L16" s="73">
        <v>5</v>
      </c>
      <c r="M16" s="74">
        <v>0.35599999999999998</v>
      </c>
    </row>
    <row r="17" spans="2:13" ht="18.75" customHeight="1" x14ac:dyDescent="0.35">
      <c r="B17" s="28" t="s">
        <v>37</v>
      </c>
      <c r="C17" s="29"/>
      <c r="D17" s="30">
        <f>($D$4+0.15)/0.95*60</f>
        <v>25.894736842105299</v>
      </c>
      <c r="F17" s="31">
        <v>1</v>
      </c>
      <c r="G17" s="32"/>
      <c r="I17" s="75"/>
      <c r="J17" s="76"/>
      <c r="K17" s="4"/>
      <c r="L17" s="77"/>
      <c r="M17" s="65"/>
    </row>
    <row r="18" spans="2:13" ht="18.75" customHeight="1" x14ac:dyDescent="0.35">
      <c r="B18" s="28" t="s">
        <v>38</v>
      </c>
      <c r="C18" s="29"/>
      <c r="D18" s="30">
        <v>35</v>
      </c>
      <c r="F18" s="31"/>
      <c r="G18" s="32"/>
      <c r="I18" s="73" t="s">
        <v>39</v>
      </c>
      <c r="J18" s="78">
        <f>SUM(D15:D16)/(MAX(D15:D16)*COUNT(D15:D16))</f>
        <v>1</v>
      </c>
      <c r="K18" s="4"/>
      <c r="L18" s="23"/>
      <c r="M18" s="65"/>
    </row>
    <row r="19" spans="2:13" ht="18.75" customHeight="1" x14ac:dyDescent="0.35">
      <c r="B19" s="28" t="s">
        <v>40</v>
      </c>
      <c r="C19" s="29">
        <v>30</v>
      </c>
      <c r="D19" s="30"/>
      <c r="E19" s="34"/>
      <c r="F19" s="35"/>
      <c r="G19" s="36">
        <v>1</v>
      </c>
      <c r="H19" s="18"/>
      <c r="I19" s="23"/>
      <c r="J19" s="23"/>
      <c r="K19" s="65"/>
    </row>
    <row r="20" spans="2:13" ht="18.75" customHeight="1" x14ac:dyDescent="0.35">
      <c r="B20" s="37" t="s">
        <v>41</v>
      </c>
      <c r="C20" s="120">
        <f>MAX(D12:D19)</f>
        <v>35</v>
      </c>
      <c r="D20" s="120"/>
      <c r="E20" s="38"/>
      <c r="F20" s="31">
        <f>SUM(F12:F19)</f>
        <v>3</v>
      </c>
      <c r="G20" s="39">
        <f>SUM(G12:G19)</f>
        <v>5</v>
      </c>
      <c r="H20" s="40"/>
      <c r="I20" s="23"/>
      <c r="J20" s="23"/>
      <c r="K20" s="65"/>
    </row>
    <row r="21" spans="2:13" ht="18.75" customHeight="1" x14ac:dyDescent="0.35">
      <c r="B21" s="41" t="s">
        <v>4</v>
      </c>
      <c r="C21" s="111">
        <f>C20*G20/$C$4</f>
        <v>43.75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4" t="s">
        <v>42</v>
      </c>
      <c r="C22" s="111">
        <f>C20*F20/$C$4</f>
        <v>26.25</v>
      </c>
      <c r="D22" s="111"/>
      <c r="E22" s="42"/>
      <c r="G22" s="3"/>
      <c r="H22" s="43"/>
      <c r="J22" s="23"/>
      <c r="K22" s="65"/>
    </row>
    <row r="23" spans="2:13" ht="18.75" customHeight="1" x14ac:dyDescent="0.35">
      <c r="B23" s="45"/>
      <c r="C23" s="45"/>
      <c r="D23" s="45"/>
      <c r="E23" s="45"/>
      <c r="F23" s="45"/>
      <c r="G23" s="45"/>
      <c r="H23" s="45"/>
      <c r="I23" s="45"/>
      <c r="J23" s="23"/>
      <c r="K23" s="65"/>
    </row>
    <row r="24" spans="2:13" ht="18.75" customHeight="1" x14ac:dyDescent="0.35">
      <c r="B24" s="22" t="s">
        <v>43</v>
      </c>
      <c r="C24" s="19"/>
      <c r="D24" s="19"/>
      <c r="E24" s="19"/>
      <c r="F24" s="23"/>
      <c r="G24" s="24"/>
      <c r="H24" s="24"/>
      <c r="I24" s="23"/>
      <c r="J24" s="23"/>
      <c r="K24" s="65"/>
    </row>
    <row r="25" spans="2:13" ht="31" x14ac:dyDescent="0.3">
      <c r="B25" s="7" t="s">
        <v>22</v>
      </c>
      <c r="C25" s="25" t="s">
        <v>23</v>
      </c>
      <c r="D25" s="25" t="s">
        <v>24</v>
      </c>
      <c r="F25" s="26" t="s">
        <v>25</v>
      </c>
      <c r="G25" s="27" t="s">
        <v>26</v>
      </c>
      <c r="I25" s="66" t="s">
        <v>27</v>
      </c>
      <c r="J25" s="67" t="s">
        <v>28</v>
      </c>
      <c r="K25" s="68" t="s">
        <v>29</v>
      </c>
      <c r="L25" s="66" t="s">
        <v>30</v>
      </c>
      <c r="M25" s="66" t="s">
        <v>31</v>
      </c>
    </row>
    <row r="26" spans="2:13" ht="18.75" customHeight="1" x14ac:dyDescent="0.35">
      <c r="B26" s="28" t="s">
        <v>32</v>
      </c>
      <c r="C26" s="29">
        <v>30</v>
      </c>
      <c r="D26" s="30"/>
      <c r="F26" s="31"/>
      <c r="G26" s="32">
        <v>1</v>
      </c>
      <c r="I26" s="34"/>
      <c r="J26" s="23"/>
      <c r="K26" s="69"/>
      <c r="L26" s="23"/>
      <c r="M26" s="65"/>
    </row>
    <row r="27" spans="2:13" ht="18.75" customHeight="1" x14ac:dyDescent="0.35">
      <c r="B27" s="28" t="s">
        <v>33</v>
      </c>
      <c r="C27" s="29"/>
      <c r="D27" s="33">
        <v>35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34</v>
      </c>
      <c r="C28" s="29"/>
      <c r="D28" s="30">
        <v>30</v>
      </c>
      <c r="F28" s="31"/>
      <c r="G28" s="32"/>
      <c r="I28" s="34"/>
      <c r="J28" s="23"/>
      <c r="K28" s="69"/>
      <c r="L28" s="23"/>
      <c r="M28" s="65"/>
    </row>
    <row r="29" spans="2:13" ht="18.75" customHeight="1" x14ac:dyDescent="0.35">
      <c r="B29" s="28" t="s">
        <v>44</v>
      </c>
      <c r="C29" s="29"/>
      <c r="D29" s="30">
        <v>30</v>
      </c>
      <c r="F29" s="31">
        <v>1</v>
      </c>
      <c r="G29" s="32">
        <v>1</v>
      </c>
      <c r="I29" s="70">
        <v>0.63</v>
      </c>
      <c r="J29" s="71">
        <f>3600/I29/150000</f>
        <v>3.8095238095238099E-2</v>
      </c>
      <c r="K29" s="72">
        <v>360</v>
      </c>
      <c r="L29" s="73">
        <v>5</v>
      </c>
      <c r="M29" s="74">
        <v>0.64400000000000002</v>
      </c>
    </row>
    <row r="30" spans="2:13" ht="18.75" customHeight="1" x14ac:dyDescent="0.35">
      <c r="B30" s="28" t="s">
        <v>45</v>
      </c>
      <c r="C30" s="29"/>
      <c r="D30" s="30">
        <v>30</v>
      </c>
      <c r="F30" s="31">
        <v>1</v>
      </c>
      <c r="G30" s="32">
        <v>1</v>
      </c>
      <c r="I30" s="70">
        <v>0.60099999999999998</v>
      </c>
      <c r="J30" s="71">
        <f>3600/I30/83000</f>
        <v>7.2168875167892901E-2</v>
      </c>
      <c r="K30" s="72">
        <v>152</v>
      </c>
      <c r="L30" s="73">
        <v>5</v>
      </c>
      <c r="M30" s="74">
        <v>0.35599999999999998</v>
      </c>
    </row>
    <row r="31" spans="2:13" ht="18.75" customHeight="1" x14ac:dyDescent="0.35">
      <c r="B31" s="28" t="s">
        <v>37</v>
      </c>
      <c r="C31" s="29"/>
      <c r="D31" s="30">
        <f>($D$4+0.15)/0.95*60</f>
        <v>25.894736842105299</v>
      </c>
      <c r="F31" s="31">
        <v>1</v>
      </c>
      <c r="G31" s="32"/>
      <c r="I31" s="75"/>
      <c r="J31" s="76"/>
      <c r="K31" s="4"/>
      <c r="L31" s="77"/>
      <c r="M31" s="65"/>
    </row>
    <row r="32" spans="2:13" ht="18.75" customHeight="1" x14ac:dyDescent="0.35">
      <c r="B32" s="28" t="s">
        <v>38</v>
      </c>
      <c r="C32" s="29"/>
      <c r="D32" s="30">
        <v>35</v>
      </c>
      <c r="F32" s="31">
        <v>1</v>
      </c>
      <c r="G32" s="32"/>
      <c r="I32" s="73" t="s">
        <v>39</v>
      </c>
      <c r="J32" s="78">
        <f>SUM(D29:D30)/(MAX(D29:D30)*COUNT(D29:D30))</f>
        <v>1</v>
      </c>
      <c r="K32" s="4"/>
      <c r="L32" s="23"/>
      <c r="M32" s="65"/>
    </row>
    <row r="33" spans="2:15" ht="18.75" customHeight="1" x14ac:dyDescent="0.35">
      <c r="B33" s="28" t="s">
        <v>46</v>
      </c>
      <c r="C33" s="29">
        <v>30</v>
      </c>
      <c r="D33" s="30"/>
      <c r="E33" s="34"/>
      <c r="F33" s="35"/>
      <c r="G33" s="36">
        <v>1</v>
      </c>
      <c r="H33" s="18"/>
      <c r="I33" s="23"/>
      <c r="J33" s="23"/>
      <c r="K33" s="65"/>
    </row>
    <row r="34" spans="2:15" ht="18.75" customHeight="1" x14ac:dyDescent="0.35">
      <c r="B34" s="28" t="s">
        <v>40</v>
      </c>
      <c r="C34" s="29">
        <v>30</v>
      </c>
      <c r="D34" s="30"/>
      <c r="E34" s="34"/>
      <c r="F34" s="35"/>
      <c r="G34" s="36">
        <v>1</v>
      </c>
      <c r="H34" s="18"/>
      <c r="I34" s="23"/>
      <c r="J34" s="23"/>
      <c r="K34" s="65"/>
    </row>
    <row r="35" spans="2:15" ht="18.75" customHeight="1" x14ac:dyDescent="0.35">
      <c r="B35" s="37" t="s">
        <v>41</v>
      </c>
      <c r="C35" s="120">
        <f>MAX(D26:D34)</f>
        <v>35</v>
      </c>
      <c r="D35" s="120"/>
      <c r="E35" s="38"/>
      <c r="F35" s="31">
        <f>SUM(F26:F34)</f>
        <v>5</v>
      </c>
      <c r="G35" s="39">
        <f>SUM(G26:G34)</f>
        <v>5</v>
      </c>
      <c r="H35" s="40"/>
      <c r="I35" s="23"/>
      <c r="J35" s="23"/>
      <c r="K35" s="65"/>
    </row>
    <row r="36" spans="2:15" ht="18.75" customHeight="1" x14ac:dyDescent="0.35">
      <c r="B36" s="41" t="s">
        <v>5</v>
      </c>
      <c r="C36" s="111">
        <f>C35*G35/$C$4</f>
        <v>43.75</v>
      </c>
      <c r="D36" s="111"/>
      <c r="E36" s="42"/>
      <c r="G36" s="3"/>
      <c r="H36" s="43"/>
      <c r="J36" s="23"/>
      <c r="K36" s="65"/>
    </row>
    <row r="37" spans="2:15" ht="18.75" customHeight="1" x14ac:dyDescent="0.35">
      <c r="B37" s="41" t="s">
        <v>42</v>
      </c>
      <c r="C37" s="111">
        <f>C35*F35/$C$4</f>
        <v>43.75</v>
      </c>
      <c r="D37" s="111"/>
      <c r="E37" s="42"/>
      <c r="G37" s="3"/>
      <c r="H37" s="43"/>
      <c r="J37" s="23"/>
      <c r="K37" s="65"/>
    </row>
    <row r="38" spans="2:15" ht="18.75" customHeight="1" x14ac:dyDescent="0.35">
      <c r="B38" s="45"/>
      <c r="C38" s="45"/>
      <c r="D38" s="45"/>
      <c r="E38" s="45"/>
      <c r="F38" s="45"/>
      <c r="G38" s="45"/>
      <c r="H38" s="45"/>
      <c r="I38" s="45"/>
      <c r="J38" s="23"/>
      <c r="K38" s="65"/>
    </row>
    <row r="39" spans="2:15" ht="18.75" customHeight="1" x14ac:dyDescent="0.35">
      <c r="B39" s="22" t="s">
        <v>47</v>
      </c>
      <c r="C39" s="19"/>
      <c r="D39" s="19"/>
      <c r="E39" s="19"/>
      <c r="F39" s="23"/>
      <c r="G39" s="24"/>
      <c r="H39" s="24"/>
      <c r="I39" s="23"/>
      <c r="J39" s="23"/>
      <c r="K39" s="65"/>
    </row>
    <row r="40" spans="2:15" ht="31" x14ac:dyDescent="0.3">
      <c r="B40" s="7" t="s">
        <v>22</v>
      </c>
      <c r="C40" s="25" t="s">
        <v>48</v>
      </c>
      <c r="D40" s="25" t="s">
        <v>49</v>
      </c>
      <c r="F40" s="26" t="s">
        <v>25</v>
      </c>
      <c r="G40" s="27" t="s">
        <v>26</v>
      </c>
      <c r="I40" s="79"/>
      <c r="J40" s="79"/>
      <c r="K40" s="80"/>
      <c r="L40" s="79"/>
      <c r="M40" s="79"/>
    </row>
    <row r="41" spans="2:15" ht="18.75" customHeight="1" x14ac:dyDescent="0.35">
      <c r="B41" s="28" t="s">
        <v>47</v>
      </c>
      <c r="C41" s="29">
        <v>120</v>
      </c>
      <c r="D41" s="30">
        <f>C41*F41/G41</f>
        <v>0</v>
      </c>
      <c r="F41" s="31"/>
      <c r="G41" s="32">
        <v>1</v>
      </c>
      <c r="I41" s="34"/>
      <c r="J41" s="23"/>
      <c r="K41" s="69"/>
      <c r="L41" s="23"/>
      <c r="M41" s="65"/>
      <c r="O41" s="81"/>
    </row>
    <row r="42" spans="2:15" ht="18.75" customHeight="1" x14ac:dyDescent="0.35">
      <c r="B42" s="41" t="s">
        <v>7</v>
      </c>
      <c r="C42" s="111">
        <f>SUM(C41:C41)/$C$4</f>
        <v>30</v>
      </c>
      <c r="D42" s="111"/>
      <c r="E42" s="42"/>
      <c r="G42" s="43"/>
      <c r="H42" s="43"/>
      <c r="J42" s="23"/>
      <c r="K42" s="65"/>
    </row>
    <row r="43" spans="2:15" ht="18.75" customHeight="1" x14ac:dyDescent="0.35">
      <c r="B43" s="44" t="s">
        <v>42</v>
      </c>
      <c r="C43" s="111">
        <f>SUM(D41:D41)/$C$4</f>
        <v>0</v>
      </c>
      <c r="D43" s="111"/>
      <c r="E43" s="42"/>
      <c r="G43" s="43"/>
      <c r="H43" s="43"/>
      <c r="J43" s="23"/>
      <c r="K43" s="65"/>
    </row>
    <row r="44" spans="2:15" ht="18.75" customHeight="1" x14ac:dyDescent="0.35">
      <c r="B44" s="45"/>
      <c r="C44" s="45"/>
      <c r="D44" s="45"/>
      <c r="E44" s="45"/>
      <c r="F44" s="45"/>
      <c r="G44" s="45"/>
      <c r="H44" s="45"/>
      <c r="I44" s="45"/>
      <c r="J44" s="23"/>
      <c r="K44" s="65"/>
    </row>
    <row r="45" spans="2:15" s="2" customFormat="1" ht="18.75" customHeight="1" x14ac:dyDescent="0.45">
      <c r="B45" s="46" t="s">
        <v>50</v>
      </c>
      <c r="C45" s="47"/>
      <c r="D45" s="48"/>
      <c r="E45" s="48"/>
      <c r="F45" s="48"/>
      <c r="G45" s="49"/>
      <c r="H45" s="49"/>
      <c r="I45" s="82"/>
      <c r="J45" s="48"/>
      <c r="K45" s="48"/>
      <c r="L45" s="48"/>
    </row>
    <row r="46" spans="2:15" s="2" customFormat="1" ht="37" x14ac:dyDescent="0.3">
      <c r="B46" s="7" t="s">
        <v>22</v>
      </c>
      <c r="C46" s="25" t="s">
        <v>51</v>
      </c>
      <c r="D46" s="25" t="s">
        <v>52</v>
      </c>
      <c r="F46" s="50" t="s">
        <v>25</v>
      </c>
      <c r="G46" s="51" t="s">
        <v>26</v>
      </c>
      <c r="H46" s="52"/>
      <c r="I46" s="83"/>
      <c r="J46" s="84" t="s">
        <v>53</v>
      </c>
      <c r="K46" s="85" t="s">
        <v>54</v>
      </c>
      <c r="L46" s="84" t="s">
        <v>55</v>
      </c>
      <c r="M46" s="84" t="s">
        <v>56</v>
      </c>
      <c r="N46" s="84" t="s">
        <v>57</v>
      </c>
    </row>
    <row r="47" spans="2:15" s="2" customFormat="1" ht="18.75" customHeight="1" x14ac:dyDescent="0.45">
      <c r="B47" s="28" t="s">
        <v>58</v>
      </c>
      <c r="C47" s="29"/>
      <c r="D47" s="29">
        <f>C47/L47</f>
        <v>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0</v>
      </c>
      <c r="N47" s="91"/>
    </row>
    <row r="48" spans="2:15" s="2" customFormat="1" ht="18.75" customHeight="1" x14ac:dyDescent="0.45">
      <c r="B48" s="28" t="s">
        <v>60</v>
      </c>
      <c r="C48" s="29"/>
      <c r="D48" s="29" t="e">
        <f>C48/L48</f>
        <v>#DIV/0!</v>
      </c>
      <c r="F48" s="53"/>
      <c r="G48" s="54" t="e">
        <f>L48</f>
        <v>#DIV/0!</v>
      </c>
      <c r="H48" s="52"/>
      <c r="I48" s="86" t="s">
        <v>59</v>
      </c>
      <c r="J48" s="87" t="e">
        <f>ROUNDUP(C48/$C$50,0)</f>
        <v>#DIV/0!</v>
      </c>
      <c r="K48" s="88">
        <f>5*4</f>
        <v>20</v>
      </c>
      <c r="L48" s="89" t="e">
        <f>IF(J48&gt;10,10,J48)</f>
        <v>#DIV/0!</v>
      </c>
      <c r="M48" s="90" t="e">
        <f>C48/L48</f>
        <v>#DIV/0!</v>
      </c>
      <c r="N48" s="91">
        <v>1</v>
      </c>
    </row>
    <row r="49" spans="2:15" s="2" customFormat="1" ht="18.75" customHeight="1" x14ac:dyDescent="0.45">
      <c r="B49" s="55" t="s">
        <v>61</v>
      </c>
      <c r="C49" s="29"/>
      <c r="D49" s="29">
        <f>C49/L49</f>
        <v>0</v>
      </c>
      <c r="F49" s="53"/>
      <c r="G49" s="54">
        <f>L49</f>
        <v>1</v>
      </c>
      <c r="H49" s="52"/>
      <c r="I49" s="86" t="s">
        <v>59</v>
      </c>
      <c r="J49" s="87">
        <v>1</v>
      </c>
      <c r="K49" s="88"/>
      <c r="L49" s="89">
        <v>1</v>
      </c>
      <c r="M49" s="90">
        <f>C49/L49</f>
        <v>0</v>
      </c>
      <c r="N49" s="91"/>
    </row>
    <row r="50" spans="2:15" s="2" customFormat="1" ht="18.75" customHeight="1" x14ac:dyDescent="0.45">
      <c r="B50" s="28" t="s">
        <v>62</v>
      </c>
      <c r="C50" s="29"/>
      <c r="D50" s="29">
        <f>C50</f>
        <v>0</v>
      </c>
      <c r="F50" s="53">
        <v>1</v>
      </c>
      <c r="G50" s="54">
        <f t="shared" ref="G50:G51" si="0">L50</f>
        <v>0</v>
      </c>
      <c r="H50" s="52"/>
      <c r="I50" s="86"/>
      <c r="J50" s="87"/>
      <c r="K50" s="88"/>
      <c r="L50" s="89"/>
      <c r="M50" s="90">
        <f>D50</f>
        <v>0</v>
      </c>
      <c r="N50" s="91"/>
    </row>
    <row r="51" spans="2:15" s="2" customFormat="1" ht="18.75" customHeight="1" x14ac:dyDescent="0.45">
      <c r="B51" s="56" t="s">
        <v>63</v>
      </c>
      <c r="C51" s="29"/>
      <c r="D51" s="29">
        <f>C51/G51</f>
        <v>0</v>
      </c>
      <c r="F51" s="53"/>
      <c r="G51" s="54">
        <f t="shared" si="0"/>
        <v>1</v>
      </c>
      <c r="H51" s="52"/>
      <c r="I51" s="86" t="s">
        <v>59</v>
      </c>
      <c r="J51" s="87" t="e">
        <f>ROUNDUP(C51/$C$50,0)</f>
        <v>#DIV/0!</v>
      </c>
      <c r="K51" s="88"/>
      <c r="L51" s="89">
        <v>1</v>
      </c>
      <c r="M51" s="90">
        <f>C51/L51</f>
        <v>0</v>
      </c>
      <c r="N51" s="91"/>
    </row>
    <row r="52" spans="2:15" s="2" customFormat="1" ht="18.75" customHeight="1" x14ac:dyDescent="0.45">
      <c r="B52" s="28" t="s">
        <v>64</v>
      </c>
      <c r="C52" s="29"/>
      <c r="D52" s="29">
        <f t="shared" ref="D52:D55" si="1">C52/G52</f>
        <v>0</v>
      </c>
      <c r="F52" s="53"/>
      <c r="G52" s="54">
        <v>1</v>
      </c>
      <c r="H52" s="52"/>
      <c r="I52" s="86" t="s">
        <v>59</v>
      </c>
      <c r="J52" s="87" t="e">
        <f>ROUNDUP(C52/$C$50,0)</f>
        <v>#DIV/0!</v>
      </c>
      <c r="K52" s="88"/>
      <c r="L52" s="89">
        <v>1</v>
      </c>
      <c r="M52" s="90">
        <f t="shared" ref="M52:M55" si="2">C52/L52</f>
        <v>0</v>
      </c>
      <c r="N52" s="91"/>
    </row>
    <row r="53" spans="2:15" s="2" customFormat="1" ht="18.75" customHeight="1" x14ac:dyDescent="0.45">
      <c r="B53" s="28" t="s">
        <v>65</v>
      </c>
      <c r="C53" s="29"/>
      <c r="D53" s="29">
        <f t="shared" si="1"/>
        <v>0</v>
      </c>
      <c r="F53" s="53"/>
      <c r="G53" s="54">
        <v>1</v>
      </c>
      <c r="H53" s="52"/>
      <c r="I53" s="86" t="s">
        <v>59</v>
      </c>
      <c r="J53" s="87" t="e">
        <f>ROUNDUP(C53/$C$50,0)</f>
        <v>#DIV/0!</v>
      </c>
      <c r="K53" s="88"/>
      <c r="L53" s="89">
        <v>1</v>
      </c>
      <c r="M53" s="90">
        <f t="shared" si="2"/>
        <v>0</v>
      </c>
      <c r="N53" s="91"/>
    </row>
    <row r="54" spans="2:15" s="2" customFormat="1" ht="18.75" customHeight="1" x14ac:dyDescent="0.45">
      <c r="B54" s="28" t="s">
        <v>66</v>
      </c>
      <c r="C54" s="29"/>
      <c r="D54" s="29">
        <f t="shared" si="1"/>
        <v>0</v>
      </c>
      <c r="F54" s="53"/>
      <c r="G54" s="54">
        <v>1</v>
      </c>
      <c r="H54" s="52"/>
      <c r="I54" s="86" t="s">
        <v>59</v>
      </c>
      <c r="J54" s="87" t="e">
        <f>ROUNDUP(C54/$C$50,0)</f>
        <v>#DIV/0!</v>
      </c>
      <c r="K54" s="88"/>
      <c r="L54" s="89">
        <v>1</v>
      </c>
      <c r="M54" s="90">
        <f t="shared" si="2"/>
        <v>0</v>
      </c>
      <c r="N54" s="91"/>
    </row>
    <row r="55" spans="2:15" s="2" customFormat="1" ht="18.75" customHeight="1" x14ac:dyDescent="0.45">
      <c r="B55" s="28" t="s">
        <v>67</v>
      </c>
      <c r="C55" s="29"/>
      <c r="D55" s="29">
        <f t="shared" si="1"/>
        <v>0</v>
      </c>
      <c r="F55" s="53"/>
      <c r="G55" s="54">
        <v>2</v>
      </c>
      <c r="H55" s="52"/>
      <c r="I55" s="86" t="s">
        <v>59</v>
      </c>
      <c r="J55" s="87" t="e">
        <f>ROUNDUP(C55/$C$50,0)</f>
        <v>#DIV/0!</v>
      </c>
      <c r="K55" s="88"/>
      <c r="L55" s="89">
        <v>4</v>
      </c>
      <c r="M55" s="90">
        <f t="shared" si="2"/>
        <v>0</v>
      </c>
      <c r="N55" s="91"/>
    </row>
    <row r="56" spans="2:15" s="2" customFormat="1" ht="18.75" customHeight="1" x14ac:dyDescent="0.45">
      <c r="B56" s="41" t="s">
        <v>6</v>
      </c>
      <c r="C56" s="111"/>
      <c r="D56" s="111"/>
      <c r="E56" s="57"/>
      <c r="F56" s="2">
        <f>SUM(F47:F55)</f>
        <v>1</v>
      </c>
      <c r="G56" s="2" t="e">
        <f>SUM(G47:G55)</f>
        <v>#DIV/0!</v>
      </c>
      <c r="H56" s="52"/>
      <c r="I56" s="86" t="s">
        <v>68</v>
      </c>
      <c r="J56" s="87" t="e">
        <f>SUM(J47:J55)</f>
        <v>#DIV/0!</v>
      </c>
      <c r="K56" s="88"/>
      <c r="L56" s="92" t="e">
        <f>SUM(L47:L55)</f>
        <v>#DIV/0!</v>
      </c>
      <c r="M56" s="93" t="e">
        <f>MAX(M47:M55)*L56</f>
        <v>#DIV/0!</v>
      </c>
      <c r="N56" s="89"/>
    </row>
    <row r="57" spans="2:15" s="2" customFormat="1" ht="18.75" customHeight="1" x14ac:dyDescent="0.45">
      <c r="B57" s="58" t="s">
        <v>42</v>
      </c>
      <c r="C57" s="111"/>
      <c r="D57" s="111"/>
      <c r="E57" s="59"/>
      <c r="F57" s="60"/>
      <c r="G57" s="61"/>
      <c r="H57" s="61"/>
      <c r="I57" s="94"/>
      <c r="J57" s="60"/>
      <c r="K57" s="60"/>
      <c r="L57" s="60"/>
    </row>
    <row r="59" spans="2:15" ht="18.75" customHeight="1" x14ac:dyDescent="0.35">
      <c r="B59" s="22" t="s">
        <v>69</v>
      </c>
      <c r="C59" s="19"/>
      <c r="D59" s="19"/>
      <c r="E59" s="19"/>
      <c r="F59" s="23"/>
      <c r="G59" s="24"/>
      <c r="H59" s="24"/>
      <c r="I59" s="23"/>
      <c r="J59" s="23"/>
      <c r="K59" s="65"/>
    </row>
    <row r="60" spans="2:15" ht="31" x14ac:dyDescent="0.3">
      <c r="B60" s="7" t="s">
        <v>22</v>
      </c>
      <c r="C60" s="25" t="s">
        <v>48</v>
      </c>
      <c r="D60" s="25" t="s">
        <v>49</v>
      </c>
      <c r="F60" s="26" t="s">
        <v>25</v>
      </c>
      <c r="G60" s="27" t="s">
        <v>26</v>
      </c>
      <c r="I60" s="79"/>
      <c r="J60" s="79"/>
      <c r="K60" s="80"/>
      <c r="L60" s="79"/>
      <c r="M60" s="79"/>
    </row>
    <row r="61" spans="2:15" ht="18.75" customHeight="1" x14ac:dyDescent="0.35">
      <c r="B61" s="28" t="s">
        <v>69</v>
      </c>
      <c r="C61" s="29">
        <v>0</v>
      </c>
      <c r="D61" s="30">
        <f>C61*F61</f>
        <v>0</v>
      </c>
      <c r="F61" s="31">
        <v>1</v>
      </c>
      <c r="G61" s="32">
        <v>1</v>
      </c>
      <c r="I61" s="34"/>
      <c r="J61" s="23"/>
      <c r="K61" s="69"/>
      <c r="L61" s="23"/>
      <c r="M61" s="65"/>
      <c r="O61" s="81"/>
    </row>
    <row r="62" spans="2:15" ht="18.75" customHeight="1" x14ac:dyDescent="0.35">
      <c r="B62" s="41" t="s">
        <v>8</v>
      </c>
      <c r="C62" s="111">
        <f>SUM(C61:C61)*G61/$C$4</f>
        <v>0</v>
      </c>
      <c r="D62" s="111"/>
      <c r="E62" s="42"/>
      <c r="G62" s="43"/>
      <c r="H62" s="43"/>
      <c r="J62" s="23"/>
      <c r="K62" s="65"/>
    </row>
    <row r="63" spans="2:15" ht="18.75" customHeight="1" x14ac:dyDescent="0.35">
      <c r="B63" s="44" t="s">
        <v>42</v>
      </c>
      <c r="C63" s="111">
        <f>SUM(D61:D61)/$C$4</f>
        <v>0</v>
      </c>
      <c r="D63" s="111"/>
      <c r="E63" s="42"/>
      <c r="G63" s="43"/>
      <c r="H63" s="43"/>
      <c r="J63" s="23"/>
      <c r="K63" s="65"/>
    </row>
    <row r="64" spans="2:15" ht="18.75" customHeight="1" x14ac:dyDescent="0.35">
      <c r="B64" s="45"/>
      <c r="C64" s="45"/>
      <c r="D64" s="45"/>
      <c r="E64" s="45"/>
      <c r="F64" s="45"/>
      <c r="G64" s="45"/>
      <c r="H64" s="45"/>
      <c r="I64" s="45"/>
      <c r="J64" s="23"/>
      <c r="K64" s="65"/>
    </row>
    <row r="65" spans="2:15" ht="18.75" customHeight="1" x14ac:dyDescent="0.4">
      <c r="B65" s="62" t="s">
        <v>70</v>
      </c>
      <c r="C65" s="19"/>
      <c r="D65" s="19"/>
      <c r="E65" s="19"/>
      <c r="F65" s="23"/>
      <c r="G65" s="24"/>
      <c r="H65" s="24"/>
      <c r="I65" s="23"/>
      <c r="J65" s="23"/>
      <c r="K65" s="65"/>
    </row>
    <row r="66" spans="2:15" ht="31" x14ac:dyDescent="0.3">
      <c r="B66" s="7" t="s">
        <v>22</v>
      </c>
      <c r="C66" s="25" t="s">
        <v>48</v>
      </c>
      <c r="D66" s="25" t="s">
        <v>49</v>
      </c>
      <c r="F66" s="26" t="s">
        <v>25</v>
      </c>
      <c r="G66" s="27" t="s">
        <v>26</v>
      </c>
      <c r="I66" s="79"/>
      <c r="J66" s="79"/>
      <c r="K66" s="80"/>
      <c r="L66" s="79"/>
      <c r="M66" s="79"/>
    </row>
    <row r="67" spans="2:15" ht="18.75" customHeight="1" x14ac:dyDescent="0.35">
      <c r="B67" s="55" t="s">
        <v>70</v>
      </c>
      <c r="C67" s="29">
        <v>45</v>
      </c>
      <c r="D67" s="30">
        <f>C67*F67</f>
        <v>0</v>
      </c>
      <c r="F67" s="31"/>
      <c r="G67" s="32">
        <v>1</v>
      </c>
      <c r="I67" s="34"/>
      <c r="J67" s="23"/>
      <c r="K67" s="69"/>
      <c r="L67" s="23"/>
      <c r="M67" s="65"/>
      <c r="O67" s="81"/>
    </row>
    <row r="68" spans="2:15" ht="18.75" customHeight="1" x14ac:dyDescent="0.35">
      <c r="B68" s="41" t="s">
        <v>9</v>
      </c>
      <c r="C68" s="111">
        <f>SUM(C67:C67)*G67</f>
        <v>45</v>
      </c>
      <c r="D68" s="111"/>
      <c r="E68" s="42"/>
      <c r="G68" s="43"/>
      <c r="H68" s="43"/>
      <c r="J68" s="23"/>
      <c r="K68" s="65"/>
    </row>
    <row r="69" spans="2:15" ht="18.75" customHeight="1" x14ac:dyDescent="0.35">
      <c r="B69" s="44" t="s">
        <v>42</v>
      </c>
      <c r="C69" s="111">
        <f>SUM(D67:D67)/$C$4</f>
        <v>0</v>
      </c>
      <c r="D69" s="111"/>
      <c r="E69" s="42"/>
      <c r="G69" s="43"/>
      <c r="H69" s="43"/>
      <c r="J69" s="23"/>
      <c r="K69" s="65"/>
    </row>
    <row r="70" spans="2:15" ht="18.75" customHeight="1" x14ac:dyDescent="0.35">
      <c r="B70" s="45"/>
      <c r="C70" s="45"/>
      <c r="D70" s="45"/>
      <c r="E70" s="45"/>
      <c r="F70" s="45"/>
      <c r="G70" s="45"/>
      <c r="H70" s="45"/>
      <c r="I70" s="45"/>
      <c r="J70" s="23"/>
      <c r="K70" s="65"/>
    </row>
    <row r="71" spans="2:15" x14ac:dyDescent="0.35">
      <c r="B71" s="95" t="s">
        <v>71</v>
      </c>
      <c r="C71" s="96"/>
      <c r="D71" s="96"/>
      <c r="E71" s="96"/>
      <c r="F71" s="97"/>
      <c r="G71" s="98"/>
      <c r="H71" s="99"/>
      <c r="I71" s="99"/>
      <c r="J71" s="99"/>
      <c r="K71" s="99"/>
      <c r="L71" s="99"/>
      <c r="M71" s="99"/>
      <c r="N71" s="99"/>
    </row>
    <row r="72" spans="2:15" ht="31" x14ac:dyDescent="0.35">
      <c r="B72" s="7" t="s">
        <v>22</v>
      </c>
      <c r="C72" s="25" t="s">
        <v>48</v>
      </c>
      <c r="D72" s="25" t="s">
        <v>49</v>
      </c>
      <c r="E72" s="100"/>
      <c r="F72" s="26" t="s">
        <v>25</v>
      </c>
      <c r="G72" s="27" t="s">
        <v>26</v>
      </c>
      <c r="H72" s="99"/>
      <c r="I72" s="99"/>
      <c r="J72" s="99"/>
      <c r="K72" s="99"/>
      <c r="L72" s="99"/>
      <c r="M72" s="99"/>
      <c r="N72" s="99"/>
    </row>
    <row r="73" spans="2:15" ht="20.25" customHeight="1" x14ac:dyDescent="0.35">
      <c r="B73" s="101" t="s">
        <v>2</v>
      </c>
      <c r="C73" s="102">
        <v>30</v>
      </c>
      <c r="D73" s="103">
        <f>C73*F73</f>
        <v>30</v>
      </c>
      <c r="E73" s="100"/>
      <c r="F73" s="104">
        <v>1</v>
      </c>
      <c r="G73" s="105">
        <v>1</v>
      </c>
      <c r="H73" s="99"/>
      <c r="I73" s="99"/>
      <c r="J73" s="99"/>
      <c r="K73" s="99"/>
      <c r="L73" s="99"/>
      <c r="M73" s="99"/>
      <c r="N73" s="99"/>
    </row>
    <row r="74" spans="2:15" ht="20.25" customHeight="1" x14ac:dyDescent="0.35">
      <c r="B74" s="106" t="s">
        <v>72</v>
      </c>
      <c r="C74" s="102">
        <v>60</v>
      </c>
      <c r="D74" s="103"/>
      <c r="E74" s="100"/>
      <c r="F74" s="104"/>
      <c r="G74" s="105">
        <v>1</v>
      </c>
      <c r="H74" s="99"/>
      <c r="I74" s="99"/>
      <c r="J74" s="99"/>
      <c r="K74" s="99"/>
      <c r="L74" s="99"/>
      <c r="M74" s="99"/>
      <c r="N74" s="99"/>
    </row>
    <row r="75" spans="2:15" ht="20.25" customHeight="1" x14ac:dyDescent="0.35">
      <c r="B75" s="106" t="s">
        <v>11</v>
      </c>
      <c r="C75" s="102"/>
      <c r="D75" s="103"/>
      <c r="E75" s="100"/>
      <c r="F75" s="104"/>
      <c r="G75" s="105"/>
      <c r="H75" s="99"/>
      <c r="I75" s="99"/>
      <c r="J75" s="99"/>
      <c r="K75" s="99"/>
      <c r="L75" s="99"/>
      <c r="M75" s="99"/>
      <c r="N75" s="99"/>
    </row>
    <row r="76" spans="2:15" ht="20.25" customHeight="1" x14ac:dyDescent="0.35">
      <c r="B76" s="106" t="s">
        <v>73</v>
      </c>
      <c r="C76" s="102">
        <f>D76*G76/F76</f>
        <v>20</v>
      </c>
      <c r="D76" s="102">
        <v>10</v>
      </c>
      <c r="E76" s="100"/>
      <c r="F76" s="104">
        <v>1</v>
      </c>
      <c r="G76" s="105">
        <v>2</v>
      </c>
      <c r="H76" s="99"/>
      <c r="I76" s="99"/>
      <c r="J76" s="99"/>
      <c r="K76" s="99"/>
      <c r="L76" s="99"/>
      <c r="M76" s="99"/>
      <c r="N76" s="99"/>
    </row>
    <row r="77" spans="2:15" ht="20.25" customHeight="1" x14ac:dyDescent="0.35">
      <c r="B77" s="106" t="s">
        <v>74</v>
      </c>
      <c r="C77" s="102">
        <f>D76*G77/F76</f>
        <v>20</v>
      </c>
      <c r="D77" s="103"/>
      <c r="E77" s="100"/>
      <c r="F77" s="104"/>
      <c r="G77" s="105">
        <v>2</v>
      </c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106" t="s">
        <v>75</v>
      </c>
      <c r="C78" s="102">
        <f>D76*G78/F76</f>
        <v>20</v>
      </c>
      <c r="D78" s="103"/>
      <c r="E78" s="100"/>
      <c r="F78" s="104"/>
      <c r="G78" s="105">
        <v>2</v>
      </c>
      <c r="H78" s="99"/>
      <c r="I78" s="99"/>
      <c r="J78" s="99"/>
      <c r="K78" s="99"/>
      <c r="L78" s="99"/>
      <c r="M78" s="99"/>
      <c r="N78" s="99"/>
    </row>
    <row r="79" spans="2:15" ht="20.25" customHeight="1" x14ac:dyDescent="0.35">
      <c r="B79" s="41" t="s">
        <v>10</v>
      </c>
      <c r="C79" s="112">
        <f>SUM(C73:C78)</f>
        <v>150</v>
      </c>
      <c r="D79" s="113"/>
      <c r="E79" s="107"/>
      <c r="F79" s="100"/>
      <c r="G79" s="108"/>
      <c r="H79" s="99"/>
      <c r="I79" s="99"/>
      <c r="J79" s="99"/>
      <c r="K79" s="99"/>
      <c r="L79" s="99"/>
      <c r="M79" s="99"/>
      <c r="N79" s="99"/>
    </row>
    <row r="80" spans="2:15" ht="20.25" customHeight="1" x14ac:dyDescent="0.35">
      <c r="B80" s="109" t="s">
        <v>42</v>
      </c>
      <c r="C80" s="112">
        <f>SUM(D73:D78)</f>
        <v>40</v>
      </c>
      <c r="D80" s="113"/>
      <c r="E80" s="107"/>
      <c r="F80" s="100"/>
      <c r="G80" s="108"/>
      <c r="H80" s="99"/>
      <c r="I80" s="99"/>
      <c r="J80" s="99"/>
      <c r="K80" s="99"/>
      <c r="L80" s="99"/>
      <c r="M80" s="99"/>
      <c r="N80" s="99"/>
    </row>
  </sheetData>
  <mergeCells count="22">
    <mergeCell ref="C43:D43"/>
    <mergeCell ref="B1:F1"/>
    <mergeCell ref="C2:F2"/>
    <mergeCell ref="C20:D20"/>
    <mergeCell ref="C21:D21"/>
    <mergeCell ref="C22:D22"/>
    <mergeCell ref="C69:D69"/>
    <mergeCell ref="C79:D79"/>
    <mergeCell ref="C80:D80"/>
    <mergeCell ref="B3:B4"/>
    <mergeCell ref="C4:C5"/>
    <mergeCell ref="D4:D5"/>
    <mergeCell ref="B8:G9"/>
    <mergeCell ref="C56:D56"/>
    <mergeCell ref="C57:D57"/>
    <mergeCell ref="C62:D62"/>
    <mergeCell ref="C63:D63"/>
    <mergeCell ref="C68:D68"/>
    <mergeCell ref="C35:D35"/>
    <mergeCell ref="C36:D36"/>
    <mergeCell ref="C37:D37"/>
    <mergeCell ref="C42:D42"/>
  </mergeCells>
  <phoneticPr fontId="3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B1:O80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customWidth="1" outlineLevel="1"/>
    <col min="10" max="11" width="10.5" style="3" customWidth="1" outlineLevel="1"/>
    <col min="12" max="12" width="15.33203125" style="3" customWidth="1" outlineLevel="1"/>
    <col min="13" max="13" width="12.58203125" style="3" customWidth="1" outlineLevel="1"/>
    <col min="14" max="14" width="15.58203125" style="3" customWidth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x14ac:dyDescent="0.35">
      <c r="B2" s="7" t="s">
        <v>13</v>
      </c>
      <c r="C2" s="123" t="s">
        <v>77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2</v>
      </c>
      <c r="D4" s="118">
        <v>0.26</v>
      </c>
      <c r="E4" s="12">
        <f>K15</f>
        <v>280</v>
      </c>
      <c r="F4" s="12">
        <f>K16</f>
        <v>142</v>
      </c>
      <c r="L4" s="6"/>
      <c r="M4" s="8"/>
    </row>
    <row r="5" spans="2:14" ht="18.75" customHeight="1" x14ac:dyDescent="0.35">
      <c r="B5" s="11"/>
      <c r="C5" s="117"/>
      <c r="D5" s="118"/>
      <c r="E5" s="12">
        <f>K29</f>
        <v>436</v>
      </c>
      <c r="F5" s="12">
        <f>K30</f>
        <v>218</v>
      </c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C21+C36+C56+C79+C42+C62+C68</f>
        <v>452.5</v>
      </c>
      <c r="D6" s="15">
        <f>(C6-F6)/0.8</f>
        <v>515.625</v>
      </c>
      <c r="E6" s="16" t="s">
        <v>20</v>
      </c>
      <c r="F6" s="17">
        <f>VLOOKUP(E6,$B$68:$C$82,2,0)</f>
        <v>40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C22+C37+C57+C80+C43+C63+C69</f>
        <v>212.5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/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35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32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280</v>
      </c>
      <c r="L15" s="73">
        <v>5</v>
      </c>
      <c r="M15" s="74">
        <v>0.64400000000000002</v>
      </c>
    </row>
    <row r="16" spans="2:14" ht="18.75" customHeight="1" x14ac:dyDescent="0.35">
      <c r="B16" s="28" t="s">
        <v>36</v>
      </c>
      <c r="C16" s="29"/>
      <c r="D16" s="30">
        <v>32</v>
      </c>
      <c r="F16" s="31"/>
      <c r="G16" s="32">
        <v>1</v>
      </c>
      <c r="I16" s="70">
        <v>0.60099999999999998</v>
      </c>
      <c r="J16" s="71">
        <f>3600/I16/83000</f>
        <v>7.2168875167892901E-2</v>
      </c>
      <c r="K16" s="72">
        <v>142</v>
      </c>
      <c r="L16" s="73">
        <v>5</v>
      </c>
      <c r="M16" s="74">
        <v>0.35599999999999998</v>
      </c>
    </row>
    <row r="17" spans="2:13" ht="18.75" customHeight="1" x14ac:dyDescent="0.35">
      <c r="B17" s="28" t="s">
        <v>37</v>
      </c>
      <c r="C17" s="29"/>
      <c r="D17" s="30">
        <f>($D$4+0.15)/0.95*60</f>
        <v>25.894736842105299</v>
      </c>
      <c r="F17" s="31">
        <v>1</v>
      </c>
      <c r="G17" s="32"/>
      <c r="I17" s="75"/>
      <c r="J17" s="76"/>
      <c r="K17" s="4"/>
      <c r="L17" s="77"/>
      <c r="M17" s="65"/>
    </row>
    <row r="18" spans="2:13" ht="18.75" customHeight="1" x14ac:dyDescent="0.35">
      <c r="B18" s="28" t="s">
        <v>38</v>
      </c>
      <c r="C18" s="29"/>
      <c r="D18" s="30">
        <v>35</v>
      </c>
      <c r="F18" s="31"/>
      <c r="G18" s="32"/>
      <c r="I18" s="73" t="s">
        <v>39</v>
      </c>
      <c r="J18" s="78">
        <f>SUM(D15:D16)/(MAX(D15:D16)*COUNT(D15:D16))</f>
        <v>1</v>
      </c>
      <c r="K18" s="4"/>
      <c r="L18" s="23"/>
      <c r="M18" s="65"/>
    </row>
    <row r="19" spans="2:13" ht="18.75" customHeight="1" x14ac:dyDescent="0.35">
      <c r="B19" s="28" t="s">
        <v>40</v>
      </c>
      <c r="C19" s="29">
        <v>30</v>
      </c>
      <c r="D19" s="30"/>
      <c r="E19" s="34"/>
      <c r="F19" s="35"/>
      <c r="G19" s="36">
        <v>1</v>
      </c>
      <c r="H19" s="18"/>
      <c r="I19" s="23"/>
      <c r="J19" s="23"/>
      <c r="K19" s="65"/>
    </row>
    <row r="20" spans="2:13" ht="18.75" customHeight="1" x14ac:dyDescent="0.35">
      <c r="B20" s="37" t="s">
        <v>41</v>
      </c>
      <c r="C20" s="120">
        <f>MAX(D12:D19)</f>
        <v>35</v>
      </c>
      <c r="D20" s="120"/>
      <c r="E20" s="38"/>
      <c r="F20" s="31">
        <f>SUM(F12:F19)</f>
        <v>3</v>
      </c>
      <c r="G20" s="39">
        <f>SUM(G12:G19)</f>
        <v>5</v>
      </c>
      <c r="H20" s="40"/>
      <c r="I20" s="23"/>
      <c r="J20" s="23"/>
      <c r="K20" s="65"/>
    </row>
    <row r="21" spans="2:13" ht="18.75" customHeight="1" x14ac:dyDescent="0.35">
      <c r="B21" s="41" t="s">
        <v>4</v>
      </c>
      <c r="C21" s="111">
        <f>C20*G20/$C$4</f>
        <v>87.5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4" t="s">
        <v>42</v>
      </c>
      <c r="C22" s="111">
        <f>C20*F20/$C$4</f>
        <v>52.5</v>
      </c>
      <c r="D22" s="111"/>
      <c r="E22" s="42"/>
      <c r="G22" s="3"/>
      <c r="H22" s="43"/>
      <c r="J22" s="23"/>
      <c r="K22" s="65"/>
    </row>
    <row r="23" spans="2:13" ht="18.75" customHeight="1" x14ac:dyDescent="0.35">
      <c r="B23" s="45"/>
      <c r="C23" s="45"/>
      <c r="D23" s="45"/>
      <c r="E23" s="45"/>
      <c r="F23" s="45"/>
      <c r="G23" s="45"/>
      <c r="H23" s="45"/>
      <c r="I23" s="45"/>
      <c r="J23" s="23"/>
      <c r="K23" s="65"/>
    </row>
    <row r="24" spans="2:13" ht="18.75" customHeight="1" x14ac:dyDescent="0.35">
      <c r="B24" s="22" t="s">
        <v>43</v>
      </c>
      <c r="C24" s="19"/>
      <c r="D24" s="19"/>
      <c r="E24" s="19"/>
      <c r="F24" s="23"/>
      <c r="G24" s="24"/>
      <c r="H24" s="24"/>
      <c r="I24" s="23"/>
      <c r="J24" s="23"/>
      <c r="K24" s="65"/>
    </row>
    <row r="25" spans="2:13" ht="31" x14ac:dyDescent="0.3">
      <c r="B25" s="7" t="s">
        <v>22</v>
      </c>
      <c r="C25" s="25" t="s">
        <v>23</v>
      </c>
      <c r="D25" s="25" t="s">
        <v>24</v>
      </c>
      <c r="F25" s="26" t="s">
        <v>25</v>
      </c>
      <c r="G25" s="27" t="s">
        <v>26</v>
      </c>
      <c r="I25" s="66" t="s">
        <v>27</v>
      </c>
      <c r="J25" s="67" t="s">
        <v>28</v>
      </c>
      <c r="K25" s="68" t="s">
        <v>29</v>
      </c>
      <c r="L25" s="66" t="s">
        <v>30</v>
      </c>
      <c r="M25" s="66" t="s">
        <v>31</v>
      </c>
    </row>
    <row r="26" spans="2:13" ht="18.75" customHeight="1" x14ac:dyDescent="0.35">
      <c r="B26" s="28" t="s">
        <v>32</v>
      </c>
      <c r="C26" s="29">
        <v>30</v>
      </c>
      <c r="D26" s="30"/>
      <c r="F26" s="31"/>
      <c r="G26" s="32">
        <v>1</v>
      </c>
      <c r="I26" s="34"/>
      <c r="J26" s="23"/>
      <c r="K26" s="69"/>
      <c r="L26" s="23"/>
      <c r="M26" s="65"/>
    </row>
    <row r="27" spans="2:13" ht="18.75" customHeight="1" x14ac:dyDescent="0.35">
      <c r="B27" s="28" t="s">
        <v>33</v>
      </c>
      <c r="C27" s="29"/>
      <c r="D27" s="33">
        <v>35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34</v>
      </c>
      <c r="C28" s="29"/>
      <c r="D28" s="30">
        <v>30</v>
      </c>
      <c r="F28" s="31"/>
      <c r="G28" s="32"/>
      <c r="I28" s="34"/>
      <c r="J28" s="23"/>
      <c r="K28" s="69"/>
      <c r="L28" s="23"/>
      <c r="M28" s="65"/>
    </row>
    <row r="29" spans="2:13" ht="18.75" customHeight="1" x14ac:dyDescent="0.35">
      <c r="B29" s="28" t="s">
        <v>44</v>
      </c>
      <c r="C29" s="29"/>
      <c r="D29" s="30">
        <v>40</v>
      </c>
      <c r="F29" s="31">
        <v>1</v>
      </c>
      <c r="G29" s="32">
        <v>1</v>
      </c>
      <c r="I29" s="70">
        <v>0.63</v>
      </c>
      <c r="J29" s="71">
        <f>3600/I29/150000</f>
        <v>3.8095238095238099E-2</v>
      </c>
      <c r="K29" s="72">
        <v>436</v>
      </c>
      <c r="L29" s="73">
        <v>5</v>
      </c>
      <c r="M29" s="74">
        <v>0.64400000000000002</v>
      </c>
    </row>
    <row r="30" spans="2:13" ht="18.75" customHeight="1" x14ac:dyDescent="0.35">
      <c r="B30" s="28" t="s">
        <v>45</v>
      </c>
      <c r="C30" s="29"/>
      <c r="D30" s="30">
        <v>40</v>
      </c>
      <c r="F30" s="31">
        <v>1</v>
      </c>
      <c r="G30" s="32">
        <v>1</v>
      </c>
      <c r="I30" s="70">
        <v>0.60099999999999998</v>
      </c>
      <c r="J30" s="71">
        <f>3600/I30/83000</f>
        <v>7.2168875167892901E-2</v>
      </c>
      <c r="K30" s="72">
        <v>218</v>
      </c>
      <c r="L30" s="73">
        <v>5</v>
      </c>
      <c r="M30" s="74">
        <v>0.35599999999999998</v>
      </c>
    </row>
    <row r="31" spans="2:13" ht="18.75" customHeight="1" x14ac:dyDescent="0.35">
      <c r="B31" s="28" t="s">
        <v>37</v>
      </c>
      <c r="C31" s="29"/>
      <c r="D31" s="30">
        <f>($D$4+0.15)/0.95*60</f>
        <v>25.894736842105299</v>
      </c>
      <c r="F31" s="31">
        <v>1</v>
      </c>
      <c r="G31" s="32"/>
      <c r="I31" s="75"/>
      <c r="J31" s="76"/>
      <c r="K31" s="4"/>
      <c r="L31" s="77"/>
      <c r="M31" s="65"/>
    </row>
    <row r="32" spans="2:13" ht="18.75" customHeight="1" x14ac:dyDescent="0.35">
      <c r="B32" s="28" t="s">
        <v>38</v>
      </c>
      <c r="C32" s="29"/>
      <c r="D32" s="30">
        <v>35</v>
      </c>
      <c r="F32" s="31">
        <v>1</v>
      </c>
      <c r="G32" s="32"/>
      <c r="I32" s="73" t="s">
        <v>39</v>
      </c>
      <c r="J32" s="78">
        <f>SUM(D29:D30)/(MAX(D29:D30)*COUNT(D29:D30))</f>
        <v>1</v>
      </c>
      <c r="K32" s="4"/>
      <c r="L32" s="23"/>
      <c r="M32" s="65"/>
    </row>
    <row r="33" spans="2:15" ht="18.75" customHeight="1" x14ac:dyDescent="0.35">
      <c r="B33" s="28" t="s">
        <v>46</v>
      </c>
      <c r="C33" s="29">
        <v>30</v>
      </c>
      <c r="D33" s="30"/>
      <c r="E33" s="34"/>
      <c r="F33" s="35"/>
      <c r="G33" s="36">
        <v>1</v>
      </c>
      <c r="H33" s="18"/>
      <c r="I33" s="23"/>
      <c r="J33" s="23"/>
      <c r="K33" s="65"/>
    </row>
    <row r="34" spans="2:15" ht="18.75" customHeight="1" x14ac:dyDescent="0.35">
      <c r="B34" s="28" t="s">
        <v>40</v>
      </c>
      <c r="C34" s="29">
        <v>30</v>
      </c>
      <c r="D34" s="30"/>
      <c r="E34" s="34"/>
      <c r="F34" s="35"/>
      <c r="G34" s="36">
        <v>1</v>
      </c>
      <c r="H34" s="18"/>
      <c r="I34" s="23"/>
      <c r="J34" s="23"/>
      <c r="K34" s="65"/>
    </row>
    <row r="35" spans="2:15" ht="18.75" customHeight="1" x14ac:dyDescent="0.35">
      <c r="B35" s="37" t="s">
        <v>41</v>
      </c>
      <c r="C35" s="120">
        <f>MAX(D26:D34)</f>
        <v>40</v>
      </c>
      <c r="D35" s="120"/>
      <c r="E35" s="38"/>
      <c r="F35" s="31">
        <f>SUM(F26:F34)</f>
        <v>5</v>
      </c>
      <c r="G35" s="39">
        <f>SUM(G26:G34)</f>
        <v>5</v>
      </c>
      <c r="H35" s="40"/>
      <c r="I35" s="23"/>
      <c r="J35" s="23"/>
      <c r="K35" s="65"/>
    </row>
    <row r="36" spans="2:15" ht="18.75" customHeight="1" x14ac:dyDescent="0.35">
      <c r="B36" s="41" t="s">
        <v>5</v>
      </c>
      <c r="C36" s="111">
        <f>C35*G35/$C$4</f>
        <v>100</v>
      </c>
      <c r="D36" s="111"/>
      <c r="E36" s="42"/>
      <c r="G36" s="3"/>
      <c r="H36" s="43"/>
      <c r="J36" s="23"/>
      <c r="K36" s="65"/>
    </row>
    <row r="37" spans="2:15" ht="18.75" customHeight="1" x14ac:dyDescent="0.35">
      <c r="B37" s="41" t="s">
        <v>42</v>
      </c>
      <c r="C37" s="111">
        <f>C35*F35/$C$4</f>
        <v>100</v>
      </c>
      <c r="D37" s="111"/>
      <c r="E37" s="42"/>
      <c r="G37" s="3"/>
      <c r="H37" s="43"/>
      <c r="J37" s="23"/>
      <c r="K37" s="65"/>
    </row>
    <row r="38" spans="2:15" ht="18.75" customHeight="1" x14ac:dyDescent="0.35">
      <c r="B38" s="45"/>
      <c r="C38" s="45"/>
      <c r="D38" s="45"/>
      <c r="E38" s="45"/>
      <c r="F38" s="45"/>
      <c r="G38" s="45"/>
      <c r="H38" s="45"/>
      <c r="I38" s="45"/>
      <c r="J38" s="23"/>
      <c r="K38" s="65"/>
    </row>
    <row r="39" spans="2:15" ht="18.75" customHeight="1" x14ac:dyDescent="0.35">
      <c r="B39" s="22" t="s">
        <v>47</v>
      </c>
      <c r="C39" s="19"/>
      <c r="D39" s="19"/>
      <c r="E39" s="19"/>
      <c r="F39" s="23"/>
      <c r="G39" s="24"/>
      <c r="H39" s="24"/>
      <c r="I39" s="23"/>
      <c r="J39" s="23"/>
      <c r="K39" s="65"/>
    </row>
    <row r="40" spans="2:15" ht="31" x14ac:dyDescent="0.3">
      <c r="B40" s="7" t="s">
        <v>22</v>
      </c>
      <c r="C40" s="25" t="s">
        <v>48</v>
      </c>
      <c r="D40" s="25" t="s">
        <v>49</v>
      </c>
      <c r="F40" s="26" t="s">
        <v>25</v>
      </c>
      <c r="G40" s="27" t="s">
        <v>26</v>
      </c>
      <c r="I40" s="79"/>
      <c r="J40" s="79"/>
      <c r="K40" s="80"/>
      <c r="L40" s="79"/>
      <c r="M40" s="79"/>
    </row>
    <row r="41" spans="2:15" ht="18.75" customHeight="1" x14ac:dyDescent="0.35">
      <c r="B41" s="28" t="s">
        <v>47</v>
      </c>
      <c r="C41" s="29">
        <v>60</v>
      </c>
      <c r="D41" s="30">
        <f>C41*F41/G41</f>
        <v>0</v>
      </c>
      <c r="F41" s="31"/>
      <c r="G41" s="32">
        <v>1</v>
      </c>
      <c r="I41" s="34"/>
      <c r="J41" s="23"/>
      <c r="K41" s="69"/>
      <c r="L41" s="23"/>
      <c r="M41" s="65"/>
      <c r="O41" s="81"/>
    </row>
    <row r="42" spans="2:15" ht="18.75" customHeight="1" x14ac:dyDescent="0.35">
      <c r="B42" s="41" t="s">
        <v>7</v>
      </c>
      <c r="C42" s="111">
        <f>SUM(C41:C41)/$C$4</f>
        <v>30</v>
      </c>
      <c r="D42" s="111"/>
      <c r="E42" s="42"/>
      <c r="G42" s="43"/>
      <c r="H42" s="43"/>
      <c r="J42" s="23"/>
      <c r="K42" s="65"/>
    </row>
    <row r="43" spans="2:15" ht="18.75" customHeight="1" x14ac:dyDescent="0.35">
      <c r="B43" s="44" t="s">
        <v>42</v>
      </c>
      <c r="C43" s="111">
        <f>SUM(D41:D41)/$C$4</f>
        <v>0</v>
      </c>
      <c r="D43" s="111"/>
      <c r="E43" s="42"/>
      <c r="G43" s="43"/>
      <c r="H43" s="43"/>
      <c r="J43" s="23"/>
      <c r="K43" s="65"/>
    </row>
    <row r="44" spans="2:15" ht="18.75" customHeight="1" x14ac:dyDescent="0.35">
      <c r="B44" s="45"/>
      <c r="C44" s="45"/>
      <c r="D44" s="45"/>
      <c r="E44" s="45"/>
      <c r="F44" s="45"/>
      <c r="G44" s="45"/>
      <c r="H44" s="45"/>
      <c r="I44" s="45"/>
      <c r="J44" s="23"/>
      <c r="K44" s="65"/>
    </row>
    <row r="45" spans="2:15" s="2" customFormat="1" ht="18.75" customHeight="1" x14ac:dyDescent="0.45">
      <c r="B45" s="46" t="s">
        <v>50</v>
      </c>
      <c r="C45" s="47"/>
      <c r="D45" s="48"/>
      <c r="E45" s="48"/>
      <c r="F45" s="48"/>
      <c r="G45" s="49"/>
      <c r="H45" s="49"/>
      <c r="I45" s="82"/>
      <c r="J45" s="48"/>
      <c r="K45" s="48"/>
      <c r="L45" s="48"/>
    </row>
    <row r="46" spans="2:15" s="2" customFormat="1" ht="37" x14ac:dyDescent="0.3">
      <c r="B46" s="7" t="s">
        <v>22</v>
      </c>
      <c r="C46" s="25" t="s">
        <v>51</v>
      </c>
      <c r="D46" s="25" t="s">
        <v>52</v>
      </c>
      <c r="F46" s="50" t="s">
        <v>25</v>
      </c>
      <c r="G46" s="51" t="s">
        <v>26</v>
      </c>
      <c r="H46" s="52"/>
      <c r="I46" s="83"/>
      <c r="J46" s="84" t="s">
        <v>53</v>
      </c>
      <c r="K46" s="85" t="s">
        <v>54</v>
      </c>
      <c r="L46" s="84" t="s">
        <v>55</v>
      </c>
      <c r="M46" s="84" t="s">
        <v>56</v>
      </c>
      <c r="N46" s="84" t="s">
        <v>57</v>
      </c>
    </row>
    <row r="47" spans="2:15" s="2" customFormat="1" ht="18.75" customHeight="1" x14ac:dyDescent="0.45">
      <c r="B47" s="28" t="s">
        <v>58</v>
      </c>
      <c r="C47" s="29"/>
      <c r="D47" s="29">
        <f>C47/L47</f>
        <v>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0</v>
      </c>
      <c r="N47" s="91"/>
    </row>
    <row r="48" spans="2:15" s="2" customFormat="1" ht="18.75" customHeight="1" x14ac:dyDescent="0.45">
      <c r="B48" s="28" t="s">
        <v>60</v>
      </c>
      <c r="C48" s="29"/>
      <c r="D48" s="29" t="e">
        <f>C48/L48</f>
        <v>#DIV/0!</v>
      </c>
      <c r="F48" s="53"/>
      <c r="G48" s="54" t="e">
        <f>L48</f>
        <v>#DIV/0!</v>
      </c>
      <c r="H48" s="52"/>
      <c r="I48" s="86" t="s">
        <v>59</v>
      </c>
      <c r="J48" s="87" t="e">
        <f>ROUNDUP(C48/$C$50,0)</f>
        <v>#DIV/0!</v>
      </c>
      <c r="K48" s="88">
        <f>5*4</f>
        <v>20</v>
      </c>
      <c r="L48" s="89" t="e">
        <f>IF(J48&gt;10,10,J48)</f>
        <v>#DIV/0!</v>
      </c>
      <c r="M48" s="90" t="e">
        <f>C48/L48</f>
        <v>#DIV/0!</v>
      </c>
      <c r="N48" s="91">
        <v>1</v>
      </c>
    </row>
    <row r="49" spans="2:15" s="2" customFormat="1" ht="18.75" customHeight="1" x14ac:dyDescent="0.45">
      <c r="B49" s="55" t="s">
        <v>61</v>
      </c>
      <c r="C49" s="29"/>
      <c r="D49" s="29">
        <f>C49/L49</f>
        <v>0</v>
      </c>
      <c r="F49" s="53"/>
      <c r="G49" s="54">
        <f>L49</f>
        <v>1</v>
      </c>
      <c r="H49" s="52"/>
      <c r="I49" s="86" t="s">
        <v>59</v>
      </c>
      <c r="J49" s="87">
        <v>1</v>
      </c>
      <c r="K49" s="88"/>
      <c r="L49" s="89">
        <v>1</v>
      </c>
      <c r="M49" s="90">
        <f>C49/L49</f>
        <v>0</v>
      </c>
      <c r="N49" s="91"/>
    </row>
    <row r="50" spans="2:15" s="2" customFormat="1" ht="18.75" customHeight="1" x14ac:dyDescent="0.45">
      <c r="B50" s="28" t="s">
        <v>62</v>
      </c>
      <c r="C50" s="29"/>
      <c r="D50" s="29">
        <f>C50</f>
        <v>0</v>
      </c>
      <c r="F50" s="53">
        <v>1</v>
      </c>
      <c r="G50" s="54">
        <f t="shared" ref="G50:G51" si="0">L50</f>
        <v>0</v>
      </c>
      <c r="H50" s="52"/>
      <c r="I50" s="86"/>
      <c r="J50" s="87"/>
      <c r="K50" s="88"/>
      <c r="L50" s="89"/>
      <c r="M50" s="90">
        <f>D50</f>
        <v>0</v>
      </c>
      <c r="N50" s="91"/>
    </row>
    <row r="51" spans="2:15" s="2" customFormat="1" ht="18.75" customHeight="1" x14ac:dyDescent="0.45">
      <c r="B51" s="56" t="s">
        <v>63</v>
      </c>
      <c r="C51" s="29"/>
      <c r="D51" s="29">
        <f>C51/G51</f>
        <v>0</v>
      </c>
      <c r="F51" s="53"/>
      <c r="G51" s="54">
        <f t="shared" si="0"/>
        <v>1</v>
      </c>
      <c r="H51" s="52"/>
      <c r="I51" s="86" t="s">
        <v>59</v>
      </c>
      <c r="J51" s="87" t="e">
        <f>ROUNDUP(C51/$C$50,0)</f>
        <v>#DIV/0!</v>
      </c>
      <c r="K51" s="88"/>
      <c r="L51" s="89">
        <v>1</v>
      </c>
      <c r="M51" s="90">
        <f>C51/L51</f>
        <v>0</v>
      </c>
      <c r="N51" s="91"/>
    </row>
    <row r="52" spans="2:15" s="2" customFormat="1" ht="18.75" customHeight="1" x14ac:dyDescent="0.45">
      <c r="B52" s="28" t="s">
        <v>64</v>
      </c>
      <c r="C52" s="29"/>
      <c r="D52" s="29">
        <f t="shared" ref="D52:D55" si="1">C52/G52</f>
        <v>0</v>
      </c>
      <c r="F52" s="53"/>
      <c r="G52" s="54">
        <v>1</v>
      </c>
      <c r="H52" s="52"/>
      <c r="I52" s="86" t="s">
        <v>59</v>
      </c>
      <c r="J52" s="87" t="e">
        <f>ROUNDUP(C52/$C$50,0)</f>
        <v>#DIV/0!</v>
      </c>
      <c r="K52" s="88"/>
      <c r="L52" s="89">
        <v>1</v>
      </c>
      <c r="M52" s="90">
        <f t="shared" ref="M52:M55" si="2">C52/L52</f>
        <v>0</v>
      </c>
      <c r="N52" s="91"/>
    </row>
    <row r="53" spans="2:15" s="2" customFormat="1" ht="18.75" customHeight="1" x14ac:dyDescent="0.45">
      <c r="B53" s="28" t="s">
        <v>65</v>
      </c>
      <c r="C53" s="29"/>
      <c r="D53" s="29">
        <f t="shared" si="1"/>
        <v>0</v>
      </c>
      <c r="F53" s="53"/>
      <c r="G53" s="54">
        <v>1</v>
      </c>
      <c r="H53" s="52"/>
      <c r="I53" s="86" t="s">
        <v>59</v>
      </c>
      <c r="J53" s="87" t="e">
        <f>ROUNDUP(C53/$C$50,0)</f>
        <v>#DIV/0!</v>
      </c>
      <c r="K53" s="88"/>
      <c r="L53" s="89">
        <v>1</v>
      </c>
      <c r="M53" s="90">
        <f t="shared" si="2"/>
        <v>0</v>
      </c>
      <c r="N53" s="91"/>
    </row>
    <row r="54" spans="2:15" s="2" customFormat="1" ht="18.75" customHeight="1" x14ac:dyDescent="0.45">
      <c r="B54" s="28" t="s">
        <v>66</v>
      </c>
      <c r="C54" s="29"/>
      <c r="D54" s="29">
        <f t="shared" si="1"/>
        <v>0</v>
      </c>
      <c r="F54" s="53"/>
      <c r="G54" s="54">
        <v>1</v>
      </c>
      <c r="H54" s="52"/>
      <c r="I54" s="86" t="s">
        <v>59</v>
      </c>
      <c r="J54" s="87" t="e">
        <f>ROUNDUP(C54/$C$50,0)</f>
        <v>#DIV/0!</v>
      </c>
      <c r="K54" s="88"/>
      <c r="L54" s="89">
        <v>1</v>
      </c>
      <c r="M54" s="90">
        <f t="shared" si="2"/>
        <v>0</v>
      </c>
      <c r="N54" s="91"/>
    </row>
    <row r="55" spans="2:15" s="2" customFormat="1" ht="18.75" customHeight="1" x14ac:dyDescent="0.45">
      <c r="B55" s="28" t="s">
        <v>67</v>
      </c>
      <c r="C55" s="29"/>
      <c r="D55" s="29">
        <f t="shared" si="1"/>
        <v>0</v>
      </c>
      <c r="F55" s="53"/>
      <c r="G55" s="54">
        <v>2</v>
      </c>
      <c r="H55" s="52"/>
      <c r="I55" s="86" t="s">
        <v>59</v>
      </c>
      <c r="J55" s="87" t="e">
        <f>ROUNDUP(C55/$C$50,0)</f>
        <v>#DIV/0!</v>
      </c>
      <c r="K55" s="88"/>
      <c r="L55" s="89">
        <v>4</v>
      </c>
      <c r="M55" s="90">
        <f t="shared" si="2"/>
        <v>0</v>
      </c>
      <c r="N55" s="91"/>
    </row>
    <row r="56" spans="2:15" s="2" customFormat="1" ht="18.75" customHeight="1" x14ac:dyDescent="0.45">
      <c r="B56" s="41" t="s">
        <v>6</v>
      </c>
      <c r="C56" s="111"/>
      <c r="D56" s="111"/>
      <c r="E56" s="57"/>
      <c r="F56" s="2">
        <f>SUM(F47:F55)</f>
        <v>1</v>
      </c>
      <c r="G56" s="2" t="e">
        <f>SUM(G47:G55)</f>
        <v>#DIV/0!</v>
      </c>
      <c r="H56" s="52"/>
      <c r="I56" s="86" t="s">
        <v>68</v>
      </c>
      <c r="J56" s="87" t="e">
        <f>SUM(J47:J55)</f>
        <v>#DIV/0!</v>
      </c>
      <c r="K56" s="88"/>
      <c r="L56" s="92" t="e">
        <f>SUM(L47:L55)</f>
        <v>#DIV/0!</v>
      </c>
      <c r="M56" s="93" t="e">
        <f>MAX(M47:M55)*L56</f>
        <v>#DIV/0!</v>
      </c>
      <c r="N56" s="89"/>
    </row>
    <row r="57" spans="2:15" s="2" customFormat="1" ht="18.75" customHeight="1" x14ac:dyDescent="0.45">
      <c r="B57" s="58" t="s">
        <v>42</v>
      </c>
      <c r="C57" s="111"/>
      <c r="D57" s="111"/>
      <c r="E57" s="59"/>
      <c r="F57" s="60"/>
      <c r="G57" s="61"/>
      <c r="H57" s="61"/>
      <c r="I57" s="94"/>
      <c r="J57" s="60"/>
      <c r="K57" s="60"/>
      <c r="L57" s="60"/>
    </row>
    <row r="59" spans="2:15" ht="18.75" customHeight="1" x14ac:dyDescent="0.35">
      <c r="B59" s="22" t="s">
        <v>69</v>
      </c>
      <c r="C59" s="19"/>
      <c r="D59" s="19"/>
      <c r="E59" s="19"/>
      <c r="F59" s="23"/>
      <c r="G59" s="24"/>
      <c r="H59" s="24"/>
      <c r="I59" s="23"/>
      <c r="J59" s="23"/>
      <c r="K59" s="65"/>
    </row>
    <row r="60" spans="2:15" ht="31" x14ac:dyDescent="0.3">
      <c r="B60" s="7" t="s">
        <v>22</v>
      </c>
      <c r="C60" s="25" t="s">
        <v>48</v>
      </c>
      <c r="D60" s="25" t="s">
        <v>49</v>
      </c>
      <c r="F60" s="26" t="s">
        <v>25</v>
      </c>
      <c r="G60" s="27" t="s">
        <v>26</v>
      </c>
      <c r="I60" s="79"/>
      <c r="J60" s="79"/>
      <c r="K60" s="80"/>
      <c r="L60" s="79"/>
      <c r="M60" s="79"/>
    </row>
    <row r="61" spans="2:15" ht="18.75" customHeight="1" x14ac:dyDescent="0.35">
      <c r="B61" s="28" t="s">
        <v>69</v>
      </c>
      <c r="C61" s="29">
        <v>0</v>
      </c>
      <c r="D61" s="30">
        <f>C61*F61</f>
        <v>0</v>
      </c>
      <c r="F61" s="31">
        <v>1</v>
      </c>
      <c r="G61" s="32">
        <v>1</v>
      </c>
      <c r="I61" s="34"/>
      <c r="J61" s="23"/>
      <c r="K61" s="69"/>
      <c r="L61" s="23"/>
      <c r="M61" s="65"/>
      <c r="O61" s="81"/>
    </row>
    <row r="62" spans="2:15" ht="18.75" customHeight="1" x14ac:dyDescent="0.35">
      <c r="B62" s="41" t="s">
        <v>8</v>
      </c>
      <c r="C62" s="111">
        <f>SUM(C61:C61)*G61/$C$4</f>
        <v>0</v>
      </c>
      <c r="D62" s="111"/>
      <c r="E62" s="42"/>
      <c r="G62" s="43"/>
      <c r="H62" s="43"/>
      <c r="J62" s="23"/>
      <c r="K62" s="65"/>
    </row>
    <row r="63" spans="2:15" ht="18.75" customHeight="1" x14ac:dyDescent="0.35">
      <c r="B63" s="44" t="s">
        <v>42</v>
      </c>
      <c r="C63" s="111">
        <f>SUM(D61:D61)/$C$4</f>
        <v>0</v>
      </c>
      <c r="D63" s="111"/>
      <c r="E63" s="42"/>
      <c r="G63" s="43"/>
      <c r="H63" s="43"/>
      <c r="J63" s="23"/>
      <c r="K63" s="65"/>
    </row>
    <row r="64" spans="2:15" ht="18.75" customHeight="1" x14ac:dyDescent="0.35">
      <c r="B64" s="45"/>
      <c r="C64" s="45"/>
      <c r="D64" s="45"/>
      <c r="E64" s="45"/>
      <c r="F64" s="45"/>
      <c r="G64" s="45"/>
      <c r="H64" s="45"/>
      <c r="I64" s="45"/>
      <c r="J64" s="23"/>
      <c r="K64" s="65"/>
    </row>
    <row r="65" spans="2:15" ht="18.75" customHeight="1" x14ac:dyDescent="0.4">
      <c r="B65" s="62" t="s">
        <v>70</v>
      </c>
      <c r="C65" s="19"/>
      <c r="D65" s="19"/>
      <c r="E65" s="19"/>
      <c r="F65" s="23"/>
      <c r="G65" s="24"/>
      <c r="H65" s="24"/>
      <c r="I65" s="23"/>
      <c r="J65" s="23"/>
      <c r="K65" s="65"/>
    </row>
    <row r="66" spans="2:15" ht="31" x14ac:dyDescent="0.3">
      <c r="B66" s="7" t="s">
        <v>22</v>
      </c>
      <c r="C66" s="25" t="s">
        <v>48</v>
      </c>
      <c r="D66" s="25" t="s">
        <v>49</v>
      </c>
      <c r="F66" s="26" t="s">
        <v>25</v>
      </c>
      <c r="G66" s="27" t="s">
        <v>26</v>
      </c>
      <c r="I66" s="79"/>
      <c r="J66" s="79"/>
      <c r="K66" s="80"/>
      <c r="L66" s="79"/>
      <c r="M66" s="79"/>
    </row>
    <row r="67" spans="2:15" ht="18.75" customHeight="1" x14ac:dyDescent="0.35">
      <c r="B67" s="55" t="s">
        <v>70</v>
      </c>
      <c r="C67" s="29">
        <v>0</v>
      </c>
      <c r="D67" s="30">
        <f>C67*F67</f>
        <v>0</v>
      </c>
      <c r="F67" s="31"/>
      <c r="G67" s="32">
        <v>1</v>
      </c>
      <c r="I67" s="34"/>
      <c r="J67" s="23"/>
      <c r="K67" s="69"/>
      <c r="L67" s="23"/>
      <c r="M67" s="65"/>
      <c r="O67" s="81"/>
    </row>
    <row r="68" spans="2:15" ht="18.75" customHeight="1" x14ac:dyDescent="0.35">
      <c r="B68" s="41" t="s">
        <v>9</v>
      </c>
      <c r="C68" s="111">
        <f>SUM(C67:C67)*G67/$C$4</f>
        <v>0</v>
      </c>
      <c r="D68" s="111"/>
      <c r="E68" s="42"/>
      <c r="G68" s="43"/>
      <c r="H68" s="43"/>
      <c r="J68" s="23"/>
      <c r="K68" s="65"/>
    </row>
    <row r="69" spans="2:15" ht="18.75" customHeight="1" x14ac:dyDescent="0.35">
      <c r="B69" s="44" t="s">
        <v>42</v>
      </c>
      <c r="C69" s="111">
        <f>SUM(D67:D67)/$C$4</f>
        <v>0</v>
      </c>
      <c r="D69" s="111"/>
      <c r="E69" s="42"/>
      <c r="G69" s="43"/>
      <c r="H69" s="43"/>
      <c r="J69" s="23"/>
      <c r="K69" s="65"/>
    </row>
    <row r="70" spans="2:15" ht="18.75" customHeight="1" x14ac:dyDescent="0.35">
      <c r="B70" s="45"/>
      <c r="C70" s="45"/>
      <c r="D70" s="45"/>
      <c r="E70" s="45"/>
      <c r="F70" s="45"/>
      <c r="G70" s="45"/>
      <c r="H70" s="45"/>
      <c r="I70" s="45"/>
      <c r="J70" s="23"/>
      <c r="K70" s="65"/>
    </row>
    <row r="71" spans="2:15" x14ac:dyDescent="0.35">
      <c r="B71" s="95" t="s">
        <v>71</v>
      </c>
      <c r="C71" s="96"/>
      <c r="D71" s="96"/>
      <c r="E71" s="96"/>
      <c r="F71" s="97"/>
      <c r="G71" s="98"/>
      <c r="H71" s="99"/>
      <c r="I71" s="99"/>
      <c r="J71" s="99"/>
      <c r="K71" s="99"/>
      <c r="L71" s="99"/>
      <c r="M71" s="99"/>
      <c r="N71" s="99"/>
    </row>
    <row r="72" spans="2:15" ht="31" x14ac:dyDescent="0.35">
      <c r="B72" s="7" t="s">
        <v>22</v>
      </c>
      <c r="C72" s="25" t="s">
        <v>48</v>
      </c>
      <c r="D72" s="25" t="s">
        <v>49</v>
      </c>
      <c r="E72" s="100"/>
      <c r="F72" s="26" t="s">
        <v>25</v>
      </c>
      <c r="G72" s="27" t="s">
        <v>26</v>
      </c>
      <c r="H72" s="99"/>
      <c r="I72" s="99"/>
      <c r="J72" s="99"/>
      <c r="K72" s="99"/>
      <c r="L72" s="99"/>
      <c r="M72" s="99"/>
      <c r="N72" s="99"/>
    </row>
    <row r="73" spans="2:15" ht="20.25" customHeight="1" x14ac:dyDescent="0.35">
      <c r="B73" s="101" t="s">
        <v>2</v>
      </c>
      <c r="C73" s="102">
        <v>40</v>
      </c>
      <c r="D73" s="103">
        <f>C73*F73</f>
        <v>40</v>
      </c>
      <c r="E73" s="100"/>
      <c r="F73" s="104">
        <v>1</v>
      </c>
      <c r="G73" s="105">
        <v>1</v>
      </c>
      <c r="H73" s="99"/>
      <c r="I73" s="99"/>
      <c r="J73" s="99"/>
      <c r="K73" s="99"/>
      <c r="L73" s="99"/>
      <c r="M73" s="99"/>
      <c r="N73" s="99"/>
    </row>
    <row r="74" spans="2:15" ht="20.25" customHeight="1" x14ac:dyDescent="0.35">
      <c r="B74" s="106" t="s">
        <v>72</v>
      </c>
      <c r="C74" s="102">
        <v>75</v>
      </c>
      <c r="D74" s="103"/>
      <c r="E74" s="100"/>
      <c r="F74" s="104"/>
      <c r="G74" s="105">
        <v>1</v>
      </c>
      <c r="H74" s="99"/>
      <c r="I74" s="99"/>
      <c r="J74" s="99"/>
      <c r="K74" s="99"/>
      <c r="L74" s="99"/>
      <c r="M74" s="99"/>
      <c r="N74" s="99"/>
    </row>
    <row r="75" spans="2:15" ht="20.25" customHeight="1" x14ac:dyDescent="0.35">
      <c r="B75" s="106" t="s">
        <v>11</v>
      </c>
      <c r="C75" s="102"/>
      <c r="D75" s="103"/>
      <c r="E75" s="100"/>
      <c r="F75" s="104"/>
      <c r="G75" s="105"/>
      <c r="H75" s="99"/>
      <c r="I75" s="99"/>
      <c r="J75" s="99"/>
      <c r="K75" s="99"/>
      <c r="L75" s="99"/>
      <c r="M75" s="99"/>
      <c r="N75" s="99"/>
    </row>
    <row r="76" spans="2:15" ht="20.25" customHeight="1" x14ac:dyDescent="0.35">
      <c r="B76" s="106" t="s">
        <v>73</v>
      </c>
      <c r="C76" s="102">
        <f>D76*G76/F76</f>
        <v>40</v>
      </c>
      <c r="D76" s="102">
        <v>20</v>
      </c>
      <c r="E76" s="100"/>
      <c r="F76" s="104">
        <v>1</v>
      </c>
      <c r="G76" s="105">
        <v>2</v>
      </c>
      <c r="H76" s="99"/>
      <c r="I76" s="99"/>
      <c r="J76" s="99"/>
      <c r="K76" s="99"/>
      <c r="L76" s="99"/>
      <c r="M76" s="99"/>
      <c r="N76" s="99"/>
    </row>
    <row r="77" spans="2:15" ht="20.25" customHeight="1" x14ac:dyDescent="0.35">
      <c r="B77" s="106" t="s">
        <v>74</v>
      </c>
      <c r="C77" s="102">
        <f>D76*G77/F76</f>
        <v>40</v>
      </c>
      <c r="D77" s="103"/>
      <c r="E77" s="100"/>
      <c r="F77" s="104"/>
      <c r="G77" s="105">
        <v>2</v>
      </c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106" t="s">
        <v>75</v>
      </c>
      <c r="C78" s="102">
        <f>D76*G78/F76</f>
        <v>40</v>
      </c>
      <c r="D78" s="103"/>
      <c r="E78" s="100"/>
      <c r="F78" s="104"/>
      <c r="G78" s="105">
        <v>2</v>
      </c>
      <c r="H78" s="99"/>
      <c r="I78" s="99"/>
      <c r="J78" s="99"/>
      <c r="K78" s="99"/>
      <c r="L78" s="99"/>
      <c r="M78" s="99"/>
      <c r="N78" s="99"/>
    </row>
    <row r="79" spans="2:15" ht="20.25" customHeight="1" x14ac:dyDescent="0.35">
      <c r="B79" s="41" t="s">
        <v>10</v>
      </c>
      <c r="C79" s="112">
        <f>SUM(C73:C78)</f>
        <v>235</v>
      </c>
      <c r="D79" s="113"/>
      <c r="E79" s="107"/>
      <c r="F79" s="100"/>
      <c r="G79" s="108"/>
      <c r="H79" s="99"/>
      <c r="I79" s="99"/>
      <c r="J79" s="99"/>
      <c r="K79" s="99"/>
      <c r="L79" s="99"/>
      <c r="M79" s="99"/>
      <c r="N79" s="99"/>
    </row>
    <row r="80" spans="2:15" ht="20.25" customHeight="1" x14ac:dyDescent="0.35">
      <c r="B80" s="109" t="s">
        <v>42</v>
      </c>
      <c r="C80" s="112">
        <f>SUM(D73:D78)</f>
        <v>60</v>
      </c>
      <c r="D80" s="113"/>
      <c r="E80" s="107"/>
      <c r="F80" s="100"/>
      <c r="G80" s="108"/>
      <c r="H80" s="99"/>
      <c r="I80" s="99"/>
      <c r="J80" s="99"/>
      <c r="K80" s="99"/>
      <c r="L80" s="99"/>
      <c r="M80" s="99"/>
      <c r="N80" s="99"/>
    </row>
  </sheetData>
  <mergeCells count="22">
    <mergeCell ref="C43:D43"/>
    <mergeCell ref="B1:F1"/>
    <mergeCell ref="C2:F2"/>
    <mergeCell ref="C20:D20"/>
    <mergeCell ref="C21:D21"/>
    <mergeCell ref="C22:D22"/>
    <mergeCell ref="C69:D69"/>
    <mergeCell ref="C79:D79"/>
    <mergeCell ref="C80:D80"/>
    <mergeCell ref="B3:B4"/>
    <mergeCell ref="C4:C5"/>
    <mergeCell ref="D4:D5"/>
    <mergeCell ref="B8:G9"/>
    <mergeCell ref="C56:D56"/>
    <mergeCell ref="C57:D57"/>
    <mergeCell ref="C62:D62"/>
    <mergeCell ref="C63:D63"/>
    <mergeCell ref="C68:D68"/>
    <mergeCell ref="C35:D35"/>
    <mergeCell ref="C36:D36"/>
    <mergeCell ref="C37:D37"/>
    <mergeCell ref="C42:D42"/>
  </mergeCells>
  <phoneticPr fontId="3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FF00"/>
  </sheetPr>
  <dimension ref="B1:O78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hidden="1" customWidth="1" outlineLevel="1"/>
    <col min="10" max="11" width="10.5" style="3" hidden="1" customWidth="1" outlineLevel="1"/>
    <col min="12" max="12" width="15.33203125" style="3" hidden="1" customWidth="1" outlineLevel="1"/>
    <col min="13" max="13" width="12.58203125" style="3" hidden="1" customWidth="1" outlineLevel="1"/>
    <col min="14" max="14" width="15.58203125" style="3" customWidth="1" collapsed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ht="16.5" x14ac:dyDescent="0.4">
      <c r="B2" s="7" t="s">
        <v>13</v>
      </c>
      <c r="C2" s="124" t="s">
        <v>78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4</v>
      </c>
      <c r="D4" s="118">
        <v>0.26</v>
      </c>
      <c r="E4" s="12">
        <f>K15</f>
        <v>220</v>
      </c>
      <c r="F4" s="12"/>
      <c r="L4" s="6"/>
      <c r="M4" s="8"/>
    </row>
    <row r="5" spans="2:14" ht="18.75" customHeight="1" x14ac:dyDescent="0.35">
      <c r="B5" s="11"/>
      <c r="C5" s="117"/>
      <c r="D5" s="118"/>
      <c r="E5" s="12">
        <f>K28</f>
        <v>300</v>
      </c>
      <c r="F5" s="12"/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C20+C34+C54+C77+C40+C60+C66</f>
        <v>270</v>
      </c>
      <c r="D6" s="15">
        <f>(C6-F6)/0.8</f>
        <v>300</v>
      </c>
      <c r="E6" s="16" t="s">
        <v>20</v>
      </c>
      <c r="F6" s="17">
        <f>VLOOKUP(E6,$B$68:$C$82,2,0)</f>
        <v>30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C21+C35+C55+C78+C41+C61+C67</f>
        <v>116.25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/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30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26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220</v>
      </c>
      <c r="L15" s="73">
        <v>5</v>
      </c>
      <c r="M15" s="74">
        <v>0.64400000000000002</v>
      </c>
    </row>
    <row r="16" spans="2:14" ht="18.75" customHeight="1" x14ac:dyDescent="0.35">
      <c r="B16" s="28" t="s">
        <v>37</v>
      </c>
      <c r="C16" s="29"/>
      <c r="D16" s="30">
        <f>($D$4+0.15)/0.95*60</f>
        <v>25.894736842105299</v>
      </c>
      <c r="F16" s="31">
        <v>1</v>
      </c>
      <c r="G16" s="32"/>
      <c r="I16" s="75"/>
      <c r="J16" s="76"/>
      <c r="K16" s="4"/>
      <c r="L16" s="77"/>
      <c r="M16" s="65"/>
    </row>
    <row r="17" spans="2:13" ht="18.75" customHeight="1" x14ac:dyDescent="0.35">
      <c r="B17" s="28" t="s">
        <v>38</v>
      </c>
      <c r="C17" s="29"/>
      <c r="D17" s="30">
        <v>30</v>
      </c>
      <c r="F17" s="31"/>
      <c r="G17" s="32"/>
      <c r="I17" s="73" t="s">
        <v>39</v>
      </c>
      <c r="J17" s="78">
        <f>SUM(D15:D15)/(MAX(D15:D15)*COUNT(D15:D15))</f>
        <v>1</v>
      </c>
      <c r="K17" s="4"/>
      <c r="L17" s="23"/>
      <c r="M17" s="65"/>
    </row>
    <row r="18" spans="2:13" ht="18.75" customHeight="1" x14ac:dyDescent="0.35">
      <c r="B18" s="28" t="s">
        <v>40</v>
      </c>
      <c r="C18" s="29">
        <v>30</v>
      </c>
      <c r="D18" s="30"/>
      <c r="E18" s="34"/>
      <c r="F18" s="35"/>
      <c r="G18" s="36">
        <v>1</v>
      </c>
      <c r="H18" s="18"/>
      <c r="I18" s="23"/>
      <c r="J18" s="23"/>
      <c r="K18" s="65"/>
    </row>
    <row r="19" spans="2:13" ht="18.75" customHeight="1" x14ac:dyDescent="0.35">
      <c r="B19" s="37" t="s">
        <v>41</v>
      </c>
      <c r="C19" s="120">
        <f>MAX(D12:D18)</f>
        <v>30</v>
      </c>
      <c r="D19" s="120"/>
      <c r="E19" s="38"/>
      <c r="F19" s="31">
        <f>SUM(F12:F18)</f>
        <v>3</v>
      </c>
      <c r="G19" s="39">
        <f>SUM(G12:G18)</f>
        <v>4</v>
      </c>
      <c r="H19" s="40"/>
      <c r="I19" s="23"/>
      <c r="J19" s="23"/>
      <c r="K19" s="65"/>
    </row>
    <row r="20" spans="2:13" ht="18.75" customHeight="1" x14ac:dyDescent="0.35">
      <c r="B20" s="41" t="s">
        <v>4</v>
      </c>
      <c r="C20" s="111">
        <f>C19*G19/$C$4</f>
        <v>30</v>
      </c>
      <c r="D20" s="111"/>
      <c r="E20" s="42"/>
      <c r="G20" s="3"/>
      <c r="H20" s="43"/>
      <c r="J20" s="23"/>
      <c r="K20" s="65"/>
    </row>
    <row r="21" spans="2:13" ht="18.75" customHeight="1" x14ac:dyDescent="0.35">
      <c r="B21" s="44" t="s">
        <v>42</v>
      </c>
      <c r="C21" s="111">
        <f>C19*F19/$C$4</f>
        <v>22.5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5"/>
      <c r="C22" s="45"/>
      <c r="D22" s="45"/>
      <c r="E22" s="45"/>
      <c r="F22" s="45"/>
      <c r="G22" s="45"/>
      <c r="H22" s="45"/>
      <c r="I22" s="45"/>
      <c r="J22" s="23"/>
      <c r="K22" s="65"/>
    </row>
    <row r="23" spans="2:13" ht="18.75" customHeight="1" x14ac:dyDescent="0.35">
      <c r="B23" s="22" t="s">
        <v>43</v>
      </c>
      <c r="C23" s="19"/>
      <c r="D23" s="19"/>
      <c r="E23" s="19"/>
      <c r="F23" s="23"/>
      <c r="G23" s="24"/>
      <c r="H23" s="24"/>
      <c r="I23" s="23"/>
      <c r="J23" s="23"/>
      <c r="K23" s="65"/>
    </row>
    <row r="24" spans="2:13" ht="31" x14ac:dyDescent="0.3">
      <c r="B24" s="7" t="s">
        <v>22</v>
      </c>
      <c r="C24" s="25" t="s">
        <v>23</v>
      </c>
      <c r="D24" s="25" t="s">
        <v>24</v>
      </c>
      <c r="F24" s="26" t="s">
        <v>25</v>
      </c>
      <c r="G24" s="27" t="s">
        <v>26</v>
      </c>
      <c r="I24" s="66" t="s">
        <v>27</v>
      </c>
      <c r="J24" s="67" t="s">
        <v>28</v>
      </c>
      <c r="K24" s="68" t="s">
        <v>29</v>
      </c>
      <c r="L24" s="66" t="s">
        <v>30</v>
      </c>
      <c r="M24" s="66" t="s">
        <v>31</v>
      </c>
    </row>
    <row r="25" spans="2:13" ht="18.75" customHeight="1" x14ac:dyDescent="0.35">
      <c r="B25" s="28" t="s">
        <v>32</v>
      </c>
      <c r="C25" s="29">
        <v>30</v>
      </c>
      <c r="D25" s="30"/>
      <c r="F25" s="31"/>
      <c r="G25" s="32">
        <v>1</v>
      </c>
      <c r="I25" s="34"/>
      <c r="J25" s="23"/>
      <c r="K25" s="69"/>
      <c r="L25" s="23"/>
      <c r="M25" s="65"/>
    </row>
    <row r="26" spans="2:13" ht="18.75" customHeight="1" x14ac:dyDescent="0.35">
      <c r="B26" s="28" t="s">
        <v>33</v>
      </c>
      <c r="C26" s="29"/>
      <c r="D26" s="33">
        <v>30</v>
      </c>
      <c r="F26" s="31">
        <v>1</v>
      </c>
      <c r="G26" s="32"/>
      <c r="I26" s="34"/>
      <c r="J26" s="23"/>
      <c r="K26" s="69"/>
      <c r="L26" s="23"/>
      <c r="M26" s="65"/>
    </row>
    <row r="27" spans="2:13" ht="18.75" customHeight="1" x14ac:dyDescent="0.35">
      <c r="B27" s="28" t="s">
        <v>34</v>
      </c>
      <c r="C27" s="29"/>
      <c r="D27" s="30">
        <v>30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44</v>
      </c>
      <c r="C28" s="29"/>
      <c r="D28" s="30">
        <v>35</v>
      </c>
      <c r="F28" s="31">
        <v>1</v>
      </c>
      <c r="G28" s="32">
        <v>1</v>
      </c>
      <c r="I28" s="70">
        <v>0.63</v>
      </c>
      <c r="J28" s="71">
        <f>3600/I28/150000</f>
        <v>3.8095238095238099E-2</v>
      </c>
      <c r="K28" s="72">
        <v>300</v>
      </c>
      <c r="L28" s="73">
        <v>5</v>
      </c>
      <c r="M28" s="74">
        <v>0.64400000000000002</v>
      </c>
    </row>
    <row r="29" spans="2:13" ht="18.75" customHeight="1" x14ac:dyDescent="0.35">
      <c r="B29" s="28" t="s">
        <v>37</v>
      </c>
      <c r="C29" s="29"/>
      <c r="D29" s="30">
        <f>($D$4+0.15)/0.95*60</f>
        <v>25.894736842105299</v>
      </c>
      <c r="F29" s="31">
        <v>1</v>
      </c>
      <c r="G29" s="32"/>
      <c r="I29" s="75"/>
      <c r="J29" s="76"/>
      <c r="K29" s="4"/>
      <c r="L29" s="77"/>
      <c r="M29" s="65"/>
    </row>
    <row r="30" spans="2:13" ht="18.75" customHeight="1" x14ac:dyDescent="0.35">
      <c r="B30" s="28" t="s">
        <v>38</v>
      </c>
      <c r="C30" s="29"/>
      <c r="D30" s="30">
        <v>30</v>
      </c>
      <c r="F30" s="31">
        <v>1</v>
      </c>
      <c r="G30" s="32"/>
      <c r="I30" s="73" t="s">
        <v>39</v>
      </c>
      <c r="J30" s="78">
        <f>SUM(D28:D28)/(MAX(D28:D28)*COUNT(D28:D28))</f>
        <v>1</v>
      </c>
      <c r="K30" s="4"/>
      <c r="L30" s="23"/>
      <c r="M30" s="65"/>
    </row>
    <row r="31" spans="2:13" ht="18.75" customHeight="1" x14ac:dyDescent="0.35">
      <c r="B31" s="28" t="s">
        <v>46</v>
      </c>
      <c r="C31" s="29">
        <v>30</v>
      </c>
      <c r="D31" s="30"/>
      <c r="E31" s="34"/>
      <c r="F31" s="35"/>
      <c r="G31" s="36">
        <v>1</v>
      </c>
      <c r="H31" s="18"/>
      <c r="I31" s="23"/>
      <c r="J31" s="23"/>
      <c r="K31" s="65"/>
    </row>
    <row r="32" spans="2:13" ht="18.75" customHeight="1" x14ac:dyDescent="0.35">
      <c r="B32" s="28" t="s">
        <v>40</v>
      </c>
      <c r="C32" s="29">
        <v>30</v>
      </c>
      <c r="D32" s="30"/>
      <c r="E32" s="34"/>
      <c r="F32" s="35"/>
      <c r="G32" s="36">
        <v>1</v>
      </c>
      <c r="H32" s="18"/>
      <c r="I32" s="23"/>
      <c r="J32" s="23"/>
      <c r="K32" s="65"/>
    </row>
    <row r="33" spans="2:15" ht="18.75" customHeight="1" x14ac:dyDescent="0.35">
      <c r="B33" s="37" t="s">
        <v>41</v>
      </c>
      <c r="C33" s="120">
        <f>MAX(D25:D32)</f>
        <v>35</v>
      </c>
      <c r="D33" s="120"/>
      <c r="E33" s="38"/>
      <c r="F33" s="31">
        <f>SUM(F25:F32)</f>
        <v>5</v>
      </c>
      <c r="G33" s="39">
        <f>SUM(G25:G32)</f>
        <v>4</v>
      </c>
      <c r="H33" s="40"/>
      <c r="I33" s="23"/>
      <c r="J33" s="23"/>
      <c r="K33" s="65"/>
    </row>
    <row r="34" spans="2:15" ht="18.75" customHeight="1" x14ac:dyDescent="0.35">
      <c r="B34" s="41" t="s">
        <v>5</v>
      </c>
      <c r="C34" s="111">
        <f>C33*G33/$C$4</f>
        <v>35</v>
      </c>
      <c r="D34" s="111"/>
      <c r="E34" s="42"/>
      <c r="G34" s="3"/>
      <c r="H34" s="43"/>
      <c r="J34" s="23"/>
      <c r="K34" s="65"/>
    </row>
    <row r="35" spans="2:15" ht="18.75" customHeight="1" x14ac:dyDescent="0.35">
      <c r="B35" s="41" t="s">
        <v>42</v>
      </c>
      <c r="C35" s="111">
        <f>C33*F33/$C$4</f>
        <v>43.75</v>
      </c>
      <c r="D35" s="111"/>
      <c r="E35" s="42"/>
      <c r="G35" s="3"/>
      <c r="H35" s="43"/>
      <c r="J35" s="23"/>
      <c r="K35" s="65"/>
    </row>
    <row r="36" spans="2:15" ht="18.75" customHeight="1" x14ac:dyDescent="0.35">
      <c r="B36" s="45"/>
      <c r="C36" s="45"/>
      <c r="D36" s="45"/>
      <c r="E36" s="45"/>
      <c r="F36" s="45"/>
      <c r="G36" s="45"/>
      <c r="H36" s="45"/>
      <c r="I36" s="45"/>
      <c r="J36" s="23"/>
      <c r="K36" s="65"/>
    </row>
    <row r="37" spans="2:15" ht="18.75" customHeight="1" x14ac:dyDescent="0.35">
      <c r="B37" s="22" t="s">
        <v>47</v>
      </c>
      <c r="C37" s="19"/>
      <c r="D37" s="19"/>
      <c r="E37" s="19"/>
      <c r="F37" s="23"/>
      <c r="G37" s="24"/>
      <c r="H37" s="24"/>
      <c r="I37" s="23"/>
      <c r="J37" s="23"/>
      <c r="K37" s="65"/>
    </row>
    <row r="38" spans="2:15" ht="31" x14ac:dyDescent="0.3">
      <c r="B38" s="7" t="s">
        <v>22</v>
      </c>
      <c r="C38" s="25" t="s">
        <v>48</v>
      </c>
      <c r="D38" s="25" t="s">
        <v>49</v>
      </c>
      <c r="F38" s="26" t="s">
        <v>25</v>
      </c>
      <c r="G38" s="27" t="s">
        <v>26</v>
      </c>
      <c r="I38" s="79"/>
      <c r="J38" s="79"/>
      <c r="K38" s="80"/>
      <c r="L38" s="79"/>
      <c r="M38" s="79"/>
    </row>
    <row r="39" spans="2:15" ht="18.75" customHeight="1" x14ac:dyDescent="0.35">
      <c r="B39" s="28" t="s">
        <v>47</v>
      </c>
      <c r="C39" s="29">
        <v>100</v>
      </c>
      <c r="D39" s="30">
        <f>C39*F39/G39</f>
        <v>0</v>
      </c>
      <c r="F39" s="31"/>
      <c r="G39" s="32">
        <v>1</v>
      </c>
      <c r="I39" s="34"/>
      <c r="J39" s="23"/>
      <c r="K39" s="69"/>
      <c r="L39" s="23"/>
      <c r="M39" s="65"/>
      <c r="O39" s="81"/>
    </row>
    <row r="40" spans="2:15" ht="18.75" customHeight="1" x14ac:dyDescent="0.35">
      <c r="B40" s="41" t="s">
        <v>7</v>
      </c>
      <c r="C40" s="111">
        <f>SUM(C39:C39)/$C$4</f>
        <v>25</v>
      </c>
      <c r="D40" s="111"/>
      <c r="E40" s="42"/>
      <c r="G40" s="43"/>
      <c r="H40" s="43"/>
      <c r="J40" s="23"/>
      <c r="K40" s="65"/>
    </row>
    <row r="41" spans="2:15" ht="18.75" customHeight="1" x14ac:dyDescent="0.35">
      <c r="B41" s="44" t="s">
        <v>42</v>
      </c>
      <c r="C41" s="111">
        <f>SUM(D39:D39)/$C$4</f>
        <v>0</v>
      </c>
      <c r="D41" s="111"/>
      <c r="E41" s="42"/>
      <c r="G41" s="43"/>
      <c r="H41" s="43"/>
      <c r="J41" s="23"/>
      <c r="K41" s="65"/>
    </row>
    <row r="42" spans="2:15" ht="18.75" customHeight="1" x14ac:dyDescent="0.35">
      <c r="B42" s="45"/>
      <c r="C42" s="45"/>
      <c r="D42" s="45"/>
      <c r="E42" s="45"/>
      <c r="F42" s="45"/>
      <c r="G42" s="45"/>
      <c r="H42" s="45"/>
      <c r="I42" s="45"/>
      <c r="J42" s="23"/>
      <c r="K42" s="65"/>
    </row>
    <row r="43" spans="2:15" s="2" customFormat="1" ht="18.75" customHeight="1" x14ac:dyDescent="0.45">
      <c r="B43" s="46" t="s">
        <v>50</v>
      </c>
      <c r="C43" s="47"/>
      <c r="D43" s="48"/>
      <c r="E43" s="48"/>
      <c r="F43" s="48"/>
      <c r="G43" s="49"/>
      <c r="H43" s="49"/>
      <c r="I43" s="82"/>
      <c r="J43" s="48"/>
      <c r="K43" s="48"/>
      <c r="L43" s="48"/>
    </row>
    <row r="44" spans="2:15" s="2" customFormat="1" ht="37" x14ac:dyDescent="0.3">
      <c r="B44" s="7" t="s">
        <v>22</v>
      </c>
      <c r="C44" s="25" t="s">
        <v>51</v>
      </c>
      <c r="D44" s="25" t="s">
        <v>52</v>
      </c>
      <c r="F44" s="50" t="s">
        <v>25</v>
      </c>
      <c r="G44" s="51" t="s">
        <v>26</v>
      </c>
      <c r="H44" s="52"/>
      <c r="I44" s="83"/>
      <c r="J44" s="84" t="s">
        <v>53</v>
      </c>
      <c r="K44" s="85" t="s">
        <v>54</v>
      </c>
      <c r="L44" s="84" t="s">
        <v>55</v>
      </c>
      <c r="M44" s="84" t="s">
        <v>56</v>
      </c>
      <c r="N44" s="84" t="s">
        <v>57</v>
      </c>
    </row>
    <row r="45" spans="2:15" s="2" customFormat="1" ht="18.75" customHeight="1" x14ac:dyDescent="0.45">
      <c r="B45" s="28" t="s">
        <v>58</v>
      </c>
      <c r="C45" s="29"/>
      <c r="D45" s="29">
        <f>C45/L45</f>
        <v>0</v>
      </c>
      <c r="F45" s="53"/>
      <c r="G45" s="54">
        <f>L45</f>
        <v>1</v>
      </c>
      <c r="H45" s="52"/>
      <c r="I45" s="86" t="s">
        <v>59</v>
      </c>
      <c r="J45" s="87">
        <v>1</v>
      </c>
      <c r="K45" s="88"/>
      <c r="L45" s="89">
        <v>1</v>
      </c>
      <c r="M45" s="90">
        <f>C45/L45</f>
        <v>0</v>
      </c>
      <c r="N45" s="91"/>
    </row>
    <row r="46" spans="2:15" s="2" customFormat="1" ht="18.75" customHeight="1" x14ac:dyDescent="0.45">
      <c r="B46" s="28" t="s">
        <v>60</v>
      </c>
      <c r="C46" s="29"/>
      <c r="D46" s="29" t="e">
        <f>C46/L46</f>
        <v>#DIV/0!</v>
      </c>
      <c r="F46" s="53"/>
      <c r="G46" s="54" t="e">
        <f>L46</f>
        <v>#DIV/0!</v>
      </c>
      <c r="H46" s="52"/>
      <c r="I46" s="86" t="s">
        <v>59</v>
      </c>
      <c r="J46" s="87" t="e">
        <f>ROUNDUP(C46/$C$48,0)</f>
        <v>#DIV/0!</v>
      </c>
      <c r="K46" s="88">
        <f>5*4</f>
        <v>20</v>
      </c>
      <c r="L46" s="89" t="e">
        <f>IF(J46&gt;10,10,J46)</f>
        <v>#DIV/0!</v>
      </c>
      <c r="M46" s="90" t="e">
        <f>C46/L46</f>
        <v>#DIV/0!</v>
      </c>
      <c r="N46" s="91">
        <v>1</v>
      </c>
    </row>
    <row r="47" spans="2:15" s="2" customFormat="1" ht="18.75" customHeight="1" x14ac:dyDescent="0.45">
      <c r="B47" s="55" t="s">
        <v>61</v>
      </c>
      <c r="C47" s="29"/>
      <c r="D47" s="29">
        <f>C47/L47</f>
        <v>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0</v>
      </c>
      <c r="N47" s="91"/>
    </row>
    <row r="48" spans="2:15" s="2" customFormat="1" ht="18.75" customHeight="1" x14ac:dyDescent="0.45">
      <c r="B48" s="28" t="s">
        <v>62</v>
      </c>
      <c r="C48" s="29"/>
      <c r="D48" s="29">
        <f>C48</f>
        <v>0</v>
      </c>
      <c r="F48" s="53">
        <v>1</v>
      </c>
      <c r="G48" s="54">
        <f t="shared" ref="G48:G49" si="0">L48</f>
        <v>0</v>
      </c>
      <c r="H48" s="52"/>
      <c r="I48" s="86"/>
      <c r="J48" s="87"/>
      <c r="K48" s="88"/>
      <c r="L48" s="89"/>
      <c r="M48" s="90">
        <f>D48</f>
        <v>0</v>
      </c>
      <c r="N48" s="91"/>
    </row>
    <row r="49" spans="2:15" s="2" customFormat="1" ht="18.75" customHeight="1" x14ac:dyDescent="0.45">
      <c r="B49" s="56" t="s">
        <v>63</v>
      </c>
      <c r="C49" s="29"/>
      <c r="D49" s="29">
        <f>C49/G49</f>
        <v>0</v>
      </c>
      <c r="F49" s="53"/>
      <c r="G49" s="54">
        <f t="shared" si="0"/>
        <v>1</v>
      </c>
      <c r="H49" s="52"/>
      <c r="I49" s="86" t="s">
        <v>59</v>
      </c>
      <c r="J49" s="87" t="e">
        <f>ROUNDUP(C49/$C$48,0)</f>
        <v>#DIV/0!</v>
      </c>
      <c r="K49" s="88"/>
      <c r="L49" s="89">
        <v>1</v>
      </c>
      <c r="M49" s="90">
        <f>C49/L49</f>
        <v>0</v>
      </c>
      <c r="N49" s="91"/>
    </row>
    <row r="50" spans="2:15" s="2" customFormat="1" ht="18.75" customHeight="1" x14ac:dyDescent="0.45">
      <c r="B50" s="28" t="s">
        <v>64</v>
      </c>
      <c r="C50" s="29"/>
      <c r="D50" s="29">
        <f t="shared" ref="D50:D53" si="1">C50/G50</f>
        <v>0</v>
      </c>
      <c r="F50" s="53"/>
      <c r="G50" s="54">
        <v>1</v>
      </c>
      <c r="H50" s="52"/>
      <c r="I50" s="86" t="s">
        <v>59</v>
      </c>
      <c r="J50" s="87" t="e">
        <f>ROUNDUP(C50/$C$48,0)</f>
        <v>#DIV/0!</v>
      </c>
      <c r="K50" s="88"/>
      <c r="L50" s="89">
        <v>1</v>
      </c>
      <c r="M50" s="90">
        <f t="shared" ref="M50:M53" si="2">C50/L50</f>
        <v>0</v>
      </c>
      <c r="N50" s="91"/>
    </row>
    <row r="51" spans="2:15" s="2" customFormat="1" ht="18.75" customHeight="1" x14ac:dyDescent="0.45">
      <c r="B51" s="28" t="s">
        <v>65</v>
      </c>
      <c r="C51" s="29"/>
      <c r="D51" s="29">
        <f t="shared" si="1"/>
        <v>0</v>
      </c>
      <c r="F51" s="53"/>
      <c r="G51" s="54">
        <v>1</v>
      </c>
      <c r="H51" s="52"/>
      <c r="I51" s="86" t="s">
        <v>59</v>
      </c>
      <c r="J51" s="87" t="e">
        <f>ROUNDUP(C51/$C$48,0)</f>
        <v>#DIV/0!</v>
      </c>
      <c r="K51" s="88"/>
      <c r="L51" s="89">
        <v>1</v>
      </c>
      <c r="M51" s="90">
        <f t="shared" si="2"/>
        <v>0</v>
      </c>
      <c r="N51" s="91"/>
    </row>
    <row r="52" spans="2:15" s="2" customFormat="1" ht="18.75" customHeight="1" x14ac:dyDescent="0.45">
      <c r="B52" s="28" t="s">
        <v>66</v>
      </c>
      <c r="C52" s="29"/>
      <c r="D52" s="29">
        <f t="shared" si="1"/>
        <v>0</v>
      </c>
      <c r="F52" s="53"/>
      <c r="G52" s="54">
        <v>1</v>
      </c>
      <c r="H52" s="52"/>
      <c r="I52" s="86" t="s">
        <v>59</v>
      </c>
      <c r="J52" s="87" t="e">
        <f>ROUNDUP(C52/$C$48,0)</f>
        <v>#DIV/0!</v>
      </c>
      <c r="K52" s="88"/>
      <c r="L52" s="89">
        <v>1</v>
      </c>
      <c r="M52" s="90">
        <f t="shared" si="2"/>
        <v>0</v>
      </c>
      <c r="N52" s="91"/>
    </row>
    <row r="53" spans="2:15" s="2" customFormat="1" ht="18.75" customHeight="1" x14ac:dyDescent="0.45">
      <c r="B53" s="28" t="s">
        <v>67</v>
      </c>
      <c r="C53" s="29"/>
      <c r="D53" s="29">
        <f t="shared" si="1"/>
        <v>0</v>
      </c>
      <c r="F53" s="53"/>
      <c r="G53" s="54">
        <v>2</v>
      </c>
      <c r="H53" s="52"/>
      <c r="I53" s="86" t="s">
        <v>59</v>
      </c>
      <c r="J53" s="87" t="e">
        <f>ROUNDUP(C53/$C$48,0)</f>
        <v>#DIV/0!</v>
      </c>
      <c r="K53" s="88"/>
      <c r="L53" s="89">
        <v>4</v>
      </c>
      <c r="M53" s="90">
        <f t="shared" si="2"/>
        <v>0</v>
      </c>
      <c r="N53" s="91"/>
    </row>
    <row r="54" spans="2:15" s="2" customFormat="1" ht="18.75" customHeight="1" x14ac:dyDescent="0.45">
      <c r="B54" s="41" t="s">
        <v>6</v>
      </c>
      <c r="C54" s="111"/>
      <c r="D54" s="111"/>
      <c r="E54" s="57"/>
      <c r="F54" s="2">
        <f>SUM(F45:F53)</f>
        <v>1</v>
      </c>
      <c r="G54" s="2" t="e">
        <f>SUM(G45:G53)</f>
        <v>#DIV/0!</v>
      </c>
      <c r="H54" s="52"/>
      <c r="I54" s="86" t="s">
        <v>68</v>
      </c>
      <c r="J54" s="87" t="e">
        <f>SUM(J45:J53)</f>
        <v>#DIV/0!</v>
      </c>
      <c r="K54" s="88"/>
      <c r="L54" s="92" t="e">
        <f>SUM(L45:L53)</f>
        <v>#DIV/0!</v>
      </c>
      <c r="M54" s="93" t="e">
        <f>MAX(M45:M53)*L54</f>
        <v>#DIV/0!</v>
      </c>
      <c r="N54" s="89"/>
    </row>
    <row r="55" spans="2:15" s="2" customFormat="1" ht="18.75" customHeight="1" x14ac:dyDescent="0.45">
      <c r="B55" s="58" t="s">
        <v>42</v>
      </c>
      <c r="C55" s="111"/>
      <c r="D55" s="111"/>
      <c r="E55" s="59"/>
      <c r="F55" s="60"/>
      <c r="G55" s="61"/>
      <c r="H55" s="61"/>
      <c r="I55" s="94"/>
      <c r="J55" s="60"/>
      <c r="K55" s="60"/>
      <c r="L55" s="60"/>
    </row>
    <row r="57" spans="2:15" ht="18.75" customHeight="1" x14ac:dyDescent="0.35">
      <c r="B57" s="22" t="s">
        <v>69</v>
      </c>
      <c r="C57" s="19"/>
      <c r="D57" s="19"/>
      <c r="E57" s="19"/>
      <c r="F57" s="23"/>
      <c r="G57" s="24"/>
      <c r="H57" s="24"/>
      <c r="I57" s="23"/>
      <c r="J57" s="23"/>
      <c r="K57" s="65"/>
    </row>
    <row r="58" spans="2:15" ht="31" x14ac:dyDescent="0.3">
      <c r="B58" s="7" t="s">
        <v>22</v>
      </c>
      <c r="C58" s="25" t="s">
        <v>48</v>
      </c>
      <c r="D58" s="25" t="s">
        <v>49</v>
      </c>
      <c r="F58" s="26" t="s">
        <v>25</v>
      </c>
      <c r="G58" s="27" t="s">
        <v>26</v>
      </c>
      <c r="I58" s="79"/>
      <c r="J58" s="79"/>
      <c r="K58" s="80"/>
      <c r="L58" s="79"/>
      <c r="M58" s="79"/>
    </row>
    <row r="59" spans="2:15" ht="18.75" customHeight="1" x14ac:dyDescent="0.35">
      <c r="B59" s="28" t="s">
        <v>69</v>
      </c>
      <c r="C59" s="29">
        <v>0</v>
      </c>
      <c r="D59" s="30">
        <f>C59*F59</f>
        <v>0</v>
      </c>
      <c r="F59" s="31">
        <v>1</v>
      </c>
      <c r="G59" s="32">
        <v>1</v>
      </c>
      <c r="I59" s="34"/>
      <c r="J59" s="23"/>
      <c r="K59" s="69"/>
      <c r="L59" s="23"/>
      <c r="M59" s="65"/>
      <c r="O59" s="81"/>
    </row>
    <row r="60" spans="2:15" ht="18.75" customHeight="1" x14ac:dyDescent="0.35">
      <c r="B60" s="41" t="s">
        <v>8</v>
      </c>
      <c r="C60" s="111">
        <f>SUM(C59:C59)*G59/$C$4</f>
        <v>0</v>
      </c>
      <c r="D60" s="111"/>
      <c r="E60" s="42"/>
      <c r="G60" s="43"/>
      <c r="H60" s="43"/>
      <c r="J60" s="23"/>
      <c r="K60" s="65"/>
    </row>
    <row r="61" spans="2:15" ht="18.75" customHeight="1" x14ac:dyDescent="0.35">
      <c r="B61" s="44" t="s">
        <v>42</v>
      </c>
      <c r="C61" s="111">
        <f>SUM(D59:D59)/$C$4</f>
        <v>0</v>
      </c>
      <c r="D61" s="111"/>
      <c r="E61" s="42"/>
      <c r="G61" s="43"/>
      <c r="H61" s="43"/>
      <c r="J61" s="23"/>
      <c r="K61" s="65"/>
    </row>
    <row r="62" spans="2:15" ht="18.75" customHeight="1" x14ac:dyDescent="0.35">
      <c r="B62" s="45"/>
      <c r="C62" s="45"/>
      <c r="D62" s="45"/>
      <c r="E62" s="45"/>
      <c r="F62" s="45"/>
      <c r="G62" s="45"/>
      <c r="H62" s="45"/>
      <c r="I62" s="45"/>
      <c r="J62" s="23"/>
      <c r="K62" s="65"/>
    </row>
    <row r="63" spans="2:15" ht="18.75" customHeight="1" x14ac:dyDescent="0.4">
      <c r="B63" s="62" t="s">
        <v>70</v>
      </c>
      <c r="C63" s="19"/>
      <c r="D63" s="19"/>
      <c r="E63" s="19"/>
      <c r="F63" s="23"/>
      <c r="G63" s="24"/>
      <c r="H63" s="24"/>
      <c r="I63" s="23"/>
      <c r="J63" s="23"/>
      <c r="K63" s="65"/>
    </row>
    <row r="64" spans="2:15" ht="31" x14ac:dyDescent="0.3">
      <c r="B64" s="7" t="s">
        <v>22</v>
      </c>
      <c r="C64" s="25" t="s">
        <v>48</v>
      </c>
      <c r="D64" s="25" t="s">
        <v>49</v>
      </c>
      <c r="F64" s="26" t="s">
        <v>25</v>
      </c>
      <c r="G64" s="27" t="s">
        <v>26</v>
      </c>
      <c r="I64" s="79"/>
      <c r="J64" s="79"/>
      <c r="K64" s="80"/>
      <c r="L64" s="79"/>
      <c r="M64" s="79"/>
    </row>
    <row r="65" spans="2:15" ht="18.75" customHeight="1" x14ac:dyDescent="0.35">
      <c r="B65" s="55" t="s">
        <v>70</v>
      </c>
      <c r="C65" s="29">
        <v>0</v>
      </c>
      <c r="D65" s="30">
        <f>C65*F65</f>
        <v>0</v>
      </c>
      <c r="F65" s="31"/>
      <c r="G65" s="32">
        <v>1</v>
      </c>
      <c r="I65" s="34"/>
      <c r="J65" s="23"/>
      <c r="K65" s="69"/>
      <c r="L65" s="23"/>
      <c r="M65" s="65"/>
      <c r="O65" s="81"/>
    </row>
    <row r="66" spans="2:15" ht="18.75" customHeight="1" x14ac:dyDescent="0.35">
      <c r="B66" s="41" t="s">
        <v>9</v>
      </c>
      <c r="C66" s="111">
        <f>SUM(C65:C65)*G65/$C$4</f>
        <v>0</v>
      </c>
      <c r="D66" s="111"/>
      <c r="E66" s="42"/>
      <c r="G66" s="43"/>
      <c r="H66" s="43"/>
      <c r="J66" s="23"/>
      <c r="K66" s="65"/>
    </row>
    <row r="67" spans="2:15" ht="18.75" customHeight="1" x14ac:dyDescent="0.35">
      <c r="B67" s="44" t="s">
        <v>42</v>
      </c>
      <c r="C67" s="111">
        <f>SUM(D65:D65)/$C$4</f>
        <v>0</v>
      </c>
      <c r="D67" s="111"/>
      <c r="E67" s="42"/>
      <c r="G67" s="43"/>
      <c r="H67" s="43"/>
      <c r="J67" s="23"/>
      <c r="K67" s="65"/>
    </row>
    <row r="68" spans="2:15" ht="18.75" customHeight="1" x14ac:dyDescent="0.35">
      <c r="B68" s="45"/>
      <c r="C68" s="45"/>
      <c r="D68" s="45"/>
      <c r="E68" s="45"/>
      <c r="F68" s="45"/>
      <c r="G68" s="45"/>
      <c r="H68" s="45"/>
      <c r="I68" s="45"/>
      <c r="J68" s="23"/>
      <c r="K68" s="65"/>
    </row>
    <row r="69" spans="2:15" x14ac:dyDescent="0.35">
      <c r="B69" s="95" t="s">
        <v>71</v>
      </c>
      <c r="C69" s="96"/>
      <c r="D69" s="96"/>
      <c r="E69" s="96"/>
      <c r="F69" s="97"/>
      <c r="G69" s="98"/>
      <c r="H69" s="99"/>
      <c r="I69" s="99"/>
      <c r="J69" s="99"/>
      <c r="K69" s="99"/>
      <c r="L69" s="99"/>
      <c r="M69" s="99"/>
      <c r="N69" s="99"/>
    </row>
    <row r="70" spans="2:15" ht="31" x14ac:dyDescent="0.35">
      <c r="B70" s="7" t="s">
        <v>22</v>
      </c>
      <c r="C70" s="25" t="s">
        <v>48</v>
      </c>
      <c r="D70" s="25" t="s">
        <v>49</v>
      </c>
      <c r="E70" s="100"/>
      <c r="F70" s="26" t="s">
        <v>25</v>
      </c>
      <c r="G70" s="27" t="s">
        <v>26</v>
      </c>
      <c r="H70" s="99"/>
      <c r="I70" s="99"/>
      <c r="J70" s="99"/>
      <c r="K70" s="99"/>
      <c r="L70" s="99"/>
      <c r="M70" s="99"/>
      <c r="N70" s="99"/>
    </row>
    <row r="71" spans="2:15" ht="20.25" customHeight="1" x14ac:dyDescent="0.35">
      <c r="B71" s="101" t="s">
        <v>2</v>
      </c>
      <c r="C71" s="102">
        <v>30</v>
      </c>
      <c r="D71" s="103">
        <f>C71*F71</f>
        <v>30</v>
      </c>
      <c r="E71" s="100"/>
      <c r="F71" s="104">
        <v>1</v>
      </c>
      <c r="G71" s="105">
        <v>1</v>
      </c>
      <c r="H71" s="99"/>
      <c r="I71" s="99"/>
      <c r="J71" s="99"/>
      <c r="K71" s="99"/>
      <c r="L71" s="99"/>
      <c r="M71" s="99"/>
      <c r="N71" s="99"/>
    </row>
    <row r="72" spans="2:15" ht="20.25" customHeight="1" x14ac:dyDescent="0.35">
      <c r="B72" s="106" t="s">
        <v>72</v>
      </c>
      <c r="C72" s="102">
        <v>30</v>
      </c>
      <c r="D72" s="103"/>
      <c r="E72" s="100"/>
      <c r="F72" s="104"/>
      <c r="G72" s="105">
        <v>1</v>
      </c>
      <c r="H72" s="99"/>
      <c r="I72" s="99"/>
      <c r="J72" s="99"/>
      <c r="K72" s="99"/>
      <c r="L72" s="99"/>
      <c r="M72" s="99"/>
      <c r="N72" s="99"/>
    </row>
    <row r="73" spans="2:15" ht="20.25" customHeight="1" x14ac:dyDescent="0.35">
      <c r="B73" s="106" t="s">
        <v>11</v>
      </c>
      <c r="C73" s="102"/>
      <c r="D73" s="103"/>
      <c r="E73" s="100"/>
      <c r="F73" s="104"/>
      <c r="G73" s="105"/>
      <c r="H73" s="99"/>
      <c r="I73" s="99"/>
      <c r="J73" s="99"/>
      <c r="K73" s="99"/>
      <c r="L73" s="99"/>
      <c r="M73" s="99"/>
      <c r="N73" s="99"/>
    </row>
    <row r="74" spans="2:15" ht="20.25" customHeight="1" x14ac:dyDescent="0.35">
      <c r="B74" s="106" t="s">
        <v>73</v>
      </c>
      <c r="C74" s="102">
        <f>D74*G74/F74</f>
        <v>40</v>
      </c>
      <c r="D74" s="102">
        <v>20</v>
      </c>
      <c r="E74" s="100"/>
      <c r="F74" s="104">
        <v>1</v>
      </c>
      <c r="G74" s="105">
        <v>2</v>
      </c>
      <c r="H74" s="99"/>
      <c r="I74" s="99"/>
      <c r="J74" s="99"/>
      <c r="K74" s="99"/>
      <c r="L74" s="99"/>
      <c r="M74" s="99"/>
      <c r="N74" s="99"/>
    </row>
    <row r="75" spans="2:15" ht="20.25" customHeight="1" x14ac:dyDescent="0.35">
      <c r="B75" s="106" t="s">
        <v>74</v>
      </c>
      <c r="C75" s="102">
        <f>D74*G75/F74</f>
        <v>40</v>
      </c>
      <c r="D75" s="103"/>
      <c r="E75" s="100"/>
      <c r="F75" s="104"/>
      <c r="G75" s="105">
        <v>2</v>
      </c>
      <c r="H75" s="99"/>
      <c r="I75" s="99"/>
      <c r="J75" s="99"/>
      <c r="K75" s="99"/>
      <c r="L75" s="99"/>
      <c r="M75" s="99"/>
      <c r="N75" s="99"/>
    </row>
    <row r="76" spans="2:15" ht="20.25" customHeight="1" x14ac:dyDescent="0.35">
      <c r="B76" s="106" t="s">
        <v>75</v>
      </c>
      <c r="C76" s="102">
        <f>D74*G76/F74</f>
        <v>40</v>
      </c>
      <c r="D76" s="103"/>
      <c r="E76" s="100"/>
      <c r="F76" s="104"/>
      <c r="G76" s="105">
        <v>2</v>
      </c>
      <c r="H76" s="99"/>
      <c r="I76" s="99"/>
      <c r="J76" s="99"/>
      <c r="K76" s="99"/>
      <c r="L76" s="99"/>
      <c r="M76" s="99"/>
      <c r="N76" s="99"/>
    </row>
    <row r="77" spans="2:15" ht="20.25" customHeight="1" x14ac:dyDescent="0.35">
      <c r="B77" s="41" t="s">
        <v>10</v>
      </c>
      <c r="C77" s="112">
        <f>SUM(C71:C76)</f>
        <v>180</v>
      </c>
      <c r="D77" s="113"/>
      <c r="E77" s="107"/>
      <c r="F77" s="100"/>
      <c r="G77" s="108"/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109" t="s">
        <v>42</v>
      </c>
      <c r="C78" s="112">
        <f>SUM(D71:D76)</f>
        <v>50</v>
      </c>
      <c r="D78" s="113"/>
      <c r="E78" s="107"/>
      <c r="F78" s="100"/>
      <c r="G78" s="108"/>
      <c r="H78" s="99"/>
      <c r="I78" s="99"/>
      <c r="J78" s="99"/>
      <c r="K78" s="99"/>
      <c r="L78" s="99"/>
      <c r="M78" s="99"/>
      <c r="N78" s="99"/>
    </row>
  </sheetData>
  <mergeCells count="22">
    <mergeCell ref="C41:D41"/>
    <mergeCell ref="B1:F1"/>
    <mergeCell ref="C2:F2"/>
    <mergeCell ref="C19:D19"/>
    <mergeCell ref="C20:D20"/>
    <mergeCell ref="C21:D21"/>
    <mergeCell ref="C67:D67"/>
    <mergeCell ref="C77:D77"/>
    <mergeCell ref="C78:D78"/>
    <mergeCell ref="B3:B4"/>
    <mergeCell ref="C4:C5"/>
    <mergeCell ref="D4:D5"/>
    <mergeCell ref="B8:G9"/>
    <mergeCell ref="C54:D54"/>
    <mergeCell ref="C55:D55"/>
    <mergeCell ref="C60:D60"/>
    <mergeCell ref="C61:D61"/>
    <mergeCell ref="C66:D66"/>
    <mergeCell ref="C33:D33"/>
    <mergeCell ref="C34:D34"/>
    <mergeCell ref="C35:D35"/>
    <mergeCell ref="C40:D40"/>
  </mergeCells>
  <phoneticPr fontId="3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FF00"/>
  </sheetPr>
  <dimension ref="B1:O80"/>
  <sheetViews>
    <sheetView showGridLines="0" tabSelected="1" topLeftCell="A61" zoomScale="70" zoomScaleNormal="70" workbookViewId="0">
      <selection activeCell="B76" sqref="B76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customWidth="1" outlineLevel="1"/>
    <col min="10" max="11" width="10.5" style="3" customWidth="1" outlineLevel="1"/>
    <col min="12" max="12" width="15.33203125" style="3" customWidth="1" outlineLevel="1"/>
    <col min="13" max="13" width="12.58203125" style="3" customWidth="1" outlineLevel="1"/>
    <col min="14" max="14" width="15.58203125" style="3" customWidth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x14ac:dyDescent="0.35">
      <c r="B2" s="7" t="s">
        <v>13</v>
      </c>
      <c r="C2" s="123" t="s">
        <v>79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4</v>
      </c>
      <c r="D4" s="118">
        <v>0.26</v>
      </c>
      <c r="E4" s="12">
        <f>K15</f>
        <v>180</v>
      </c>
      <c r="F4" s="12">
        <f>K16</f>
        <v>80</v>
      </c>
      <c r="L4" s="6"/>
      <c r="M4" s="8"/>
    </row>
    <row r="5" spans="2:14" ht="18.75" customHeight="1" x14ac:dyDescent="0.35">
      <c r="B5" s="11"/>
      <c r="C5" s="117"/>
      <c r="D5" s="118"/>
      <c r="E5" s="12">
        <f>K29</f>
        <v>340</v>
      </c>
      <c r="F5" s="12">
        <f>K30</f>
        <v>140</v>
      </c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C21+C36+C56+C79+C42+C62+C68</f>
        <v>237.5</v>
      </c>
      <c r="D6" s="15">
        <f>(C6-F6)/0.8</f>
        <v>259.375</v>
      </c>
      <c r="E6" s="16" t="s">
        <v>20</v>
      </c>
      <c r="F6" s="17">
        <f>VLOOKUP(E6,$B$68:$C$82,2,0)</f>
        <v>30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C22+C37+C57+C80+C43+C63+C69</f>
        <v>115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/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35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26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180</v>
      </c>
      <c r="L15" s="73">
        <v>5</v>
      </c>
      <c r="M15" s="74">
        <v>0.64400000000000002</v>
      </c>
    </row>
    <row r="16" spans="2:14" ht="18.75" customHeight="1" x14ac:dyDescent="0.35">
      <c r="B16" s="28" t="s">
        <v>36</v>
      </c>
      <c r="C16" s="29"/>
      <c r="D16" s="30">
        <v>26</v>
      </c>
      <c r="F16" s="31"/>
      <c r="G16" s="32">
        <v>1</v>
      </c>
      <c r="I16" s="70">
        <v>0.60099999999999998</v>
      </c>
      <c r="J16" s="71">
        <f>3600/I16/83000</f>
        <v>7.2168875167892901E-2</v>
      </c>
      <c r="K16" s="72">
        <v>80</v>
      </c>
      <c r="L16" s="73">
        <v>5</v>
      </c>
      <c r="M16" s="74">
        <v>0.35599999999999998</v>
      </c>
    </row>
    <row r="17" spans="2:13" ht="18.75" customHeight="1" x14ac:dyDescent="0.35">
      <c r="B17" s="28" t="s">
        <v>37</v>
      </c>
      <c r="C17" s="29"/>
      <c r="D17" s="30">
        <f>($D$4+0.15)/0.95*60</f>
        <v>25.894736842105299</v>
      </c>
      <c r="F17" s="31">
        <v>1</v>
      </c>
      <c r="G17" s="32"/>
      <c r="I17" s="75"/>
      <c r="J17" s="76"/>
      <c r="K17" s="4"/>
      <c r="L17" s="77"/>
      <c r="M17" s="65"/>
    </row>
    <row r="18" spans="2:13" ht="18.75" customHeight="1" x14ac:dyDescent="0.35">
      <c r="B18" s="28" t="s">
        <v>38</v>
      </c>
      <c r="C18" s="29"/>
      <c r="D18" s="30">
        <v>35</v>
      </c>
      <c r="F18" s="31"/>
      <c r="G18" s="32"/>
      <c r="I18" s="73" t="s">
        <v>39</v>
      </c>
      <c r="J18" s="78">
        <f>SUM(D15:D16)/(MAX(D15:D16)*COUNT(D15:D16))</f>
        <v>1</v>
      </c>
      <c r="K18" s="4"/>
      <c r="L18" s="23"/>
      <c r="M18" s="65"/>
    </row>
    <row r="19" spans="2:13" ht="18.75" customHeight="1" x14ac:dyDescent="0.35">
      <c r="B19" s="28" t="s">
        <v>40</v>
      </c>
      <c r="C19" s="29">
        <v>30</v>
      </c>
      <c r="D19" s="30"/>
      <c r="E19" s="34"/>
      <c r="F19" s="35"/>
      <c r="G19" s="36">
        <v>1</v>
      </c>
      <c r="H19" s="18"/>
      <c r="I19" s="23"/>
      <c r="J19" s="23"/>
      <c r="K19" s="65"/>
    </row>
    <row r="20" spans="2:13" ht="18.75" customHeight="1" x14ac:dyDescent="0.35">
      <c r="B20" s="37" t="s">
        <v>41</v>
      </c>
      <c r="C20" s="120">
        <f>MAX(D12:D19)</f>
        <v>35</v>
      </c>
      <c r="D20" s="120"/>
      <c r="E20" s="38"/>
      <c r="F20" s="31">
        <f>SUM(F12:F19)</f>
        <v>3</v>
      </c>
      <c r="G20" s="39">
        <f>SUM(G12:G19)</f>
        <v>5</v>
      </c>
      <c r="H20" s="40"/>
      <c r="I20" s="23"/>
      <c r="J20" s="23"/>
      <c r="K20" s="65"/>
    </row>
    <row r="21" spans="2:13" ht="18.75" customHeight="1" x14ac:dyDescent="0.35">
      <c r="B21" s="41" t="s">
        <v>4</v>
      </c>
      <c r="C21" s="111">
        <f>C20*G20/$C$4</f>
        <v>43.75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4" t="s">
        <v>42</v>
      </c>
      <c r="C22" s="111">
        <f>C20*F20/$C$4</f>
        <v>26.25</v>
      </c>
      <c r="D22" s="111"/>
      <c r="E22" s="42"/>
      <c r="G22" s="3"/>
      <c r="H22" s="43"/>
      <c r="J22" s="23"/>
      <c r="K22" s="65"/>
    </row>
    <row r="23" spans="2:13" ht="18.75" customHeight="1" x14ac:dyDescent="0.35">
      <c r="B23" s="45"/>
      <c r="C23" s="45"/>
      <c r="D23" s="45"/>
      <c r="E23" s="45"/>
      <c r="F23" s="45"/>
      <c r="G23" s="45"/>
      <c r="H23" s="45"/>
      <c r="I23" s="45"/>
      <c r="J23" s="23"/>
      <c r="K23" s="65"/>
    </row>
    <row r="24" spans="2:13" ht="18.75" customHeight="1" x14ac:dyDescent="0.35">
      <c r="B24" s="22" t="s">
        <v>43</v>
      </c>
      <c r="C24" s="19"/>
      <c r="D24" s="19"/>
      <c r="E24" s="19"/>
      <c r="F24" s="23"/>
      <c r="G24" s="24"/>
      <c r="H24" s="24"/>
      <c r="I24" s="23"/>
      <c r="J24" s="23"/>
      <c r="K24" s="65"/>
    </row>
    <row r="25" spans="2:13" ht="31" x14ac:dyDescent="0.3">
      <c r="B25" s="7" t="s">
        <v>22</v>
      </c>
      <c r="C25" s="25" t="s">
        <v>23</v>
      </c>
      <c r="D25" s="25" t="s">
        <v>24</v>
      </c>
      <c r="F25" s="26" t="s">
        <v>25</v>
      </c>
      <c r="G25" s="27" t="s">
        <v>26</v>
      </c>
      <c r="I25" s="66" t="s">
        <v>27</v>
      </c>
      <c r="J25" s="67" t="s">
        <v>28</v>
      </c>
      <c r="K25" s="68" t="s">
        <v>29</v>
      </c>
      <c r="L25" s="66" t="s">
        <v>30</v>
      </c>
      <c r="M25" s="66" t="s">
        <v>31</v>
      </c>
    </row>
    <row r="26" spans="2:13" ht="18.75" customHeight="1" x14ac:dyDescent="0.35">
      <c r="B26" s="28" t="s">
        <v>32</v>
      </c>
      <c r="C26" s="29">
        <v>30</v>
      </c>
      <c r="D26" s="30"/>
      <c r="F26" s="31"/>
      <c r="G26" s="32">
        <v>1</v>
      </c>
      <c r="I26" s="34"/>
      <c r="J26" s="23"/>
      <c r="K26" s="69"/>
      <c r="L26" s="23"/>
      <c r="M26" s="65"/>
    </row>
    <row r="27" spans="2:13" ht="18.75" customHeight="1" x14ac:dyDescent="0.35">
      <c r="B27" s="28" t="s">
        <v>33</v>
      </c>
      <c r="C27" s="29"/>
      <c r="D27" s="33">
        <v>35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34</v>
      </c>
      <c r="C28" s="29"/>
      <c r="D28" s="30">
        <v>30</v>
      </c>
      <c r="F28" s="31"/>
      <c r="G28" s="32"/>
      <c r="I28" s="34"/>
      <c r="J28" s="23"/>
      <c r="K28" s="69"/>
      <c r="L28" s="23"/>
      <c r="M28" s="65"/>
    </row>
    <row r="29" spans="2:13" ht="18.75" customHeight="1" x14ac:dyDescent="0.35">
      <c r="B29" s="28" t="s">
        <v>44</v>
      </c>
      <c r="C29" s="29"/>
      <c r="D29" s="30">
        <v>30</v>
      </c>
      <c r="F29" s="31">
        <v>1</v>
      </c>
      <c r="G29" s="32">
        <v>1</v>
      </c>
      <c r="I29" s="70">
        <v>0.63</v>
      </c>
      <c r="J29" s="71">
        <f>3600/I29/150000</f>
        <v>3.8095238095238099E-2</v>
      </c>
      <c r="K29" s="72">
        <v>340</v>
      </c>
      <c r="L29" s="73">
        <v>5</v>
      </c>
      <c r="M29" s="74">
        <v>0.64400000000000002</v>
      </c>
    </row>
    <row r="30" spans="2:13" ht="18.75" customHeight="1" x14ac:dyDescent="0.35">
      <c r="B30" s="28" t="s">
        <v>45</v>
      </c>
      <c r="C30" s="29"/>
      <c r="D30" s="30">
        <v>30</v>
      </c>
      <c r="F30" s="31">
        <v>1</v>
      </c>
      <c r="G30" s="32">
        <v>1</v>
      </c>
      <c r="I30" s="70">
        <v>0.60099999999999998</v>
      </c>
      <c r="J30" s="71">
        <f>3600/I30/83000</f>
        <v>7.2168875167892901E-2</v>
      </c>
      <c r="K30" s="72">
        <v>140</v>
      </c>
      <c r="L30" s="73">
        <v>5</v>
      </c>
      <c r="M30" s="74">
        <v>0.35599999999999998</v>
      </c>
    </row>
    <row r="31" spans="2:13" ht="18.75" customHeight="1" x14ac:dyDescent="0.35">
      <c r="B31" s="28" t="s">
        <v>37</v>
      </c>
      <c r="C31" s="29"/>
      <c r="D31" s="30">
        <f>($D$4+0.15)/0.95*60</f>
        <v>25.894736842105299</v>
      </c>
      <c r="F31" s="31">
        <v>1</v>
      </c>
      <c r="G31" s="32"/>
      <c r="I31" s="75"/>
      <c r="J31" s="76"/>
      <c r="K31" s="4"/>
      <c r="L31" s="77"/>
      <c r="M31" s="65"/>
    </row>
    <row r="32" spans="2:13" ht="18.75" customHeight="1" x14ac:dyDescent="0.35">
      <c r="B32" s="28" t="s">
        <v>38</v>
      </c>
      <c r="C32" s="29"/>
      <c r="D32" s="30">
        <v>35</v>
      </c>
      <c r="F32" s="31">
        <v>1</v>
      </c>
      <c r="G32" s="32"/>
      <c r="I32" s="73" t="s">
        <v>39</v>
      </c>
      <c r="J32" s="78">
        <f>SUM(D29:D30)/(MAX(D29:D30)*COUNT(D29:D30))</f>
        <v>1</v>
      </c>
      <c r="K32" s="4"/>
      <c r="L32" s="23"/>
      <c r="M32" s="65"/>
    </row>
    <row r="33" spans="2:15" ht="18.75" customHeight="1" x14ac:dyDescent="0.35">
      <c r="B33" s="28" t="s">
        <v>46</v>
      </c>
      <c r="C33" s="29">
        <v>30</v>
      </c>
      <c r="D33" s="30"/>
      <c r="E33" s="34"/>
      <c r="F33" s="35"/>
      <c r="G33" s="36">
        <v>1</v>
      </c>
      <c r="H33" s="18"/>
      <c r="I33" s="23"/>
      <c r="J33" s="23"/>
      <c r="K33" s="65"/>
    </row>
    <row r="34" spans="2:15" ht="18.75" customHeight="1" x14ac:dyDescent="0.35">
      <c r="B34" s="28" t="s">
        <v>40</v>
      </c>
      <c r="C34" s="29">
        <v>30</v>
      </c>
      <c r="D34" s="30"/>
      <c r="E34" s="34"/>
      <c r="F34" s="35"/>
      <c r="G34" s="36">
        <v>1</v>
      </c>
      <c r="H34" s="18"/>
      <c r="I34" s="23"/>
      <c r="J34" s="23"/>
      <c r="K34" s="65"/>
    </row>
    <row r="35" spans="2:15" ht="18.75" customHeight="1" x14ac:dyDescent="0.35">
      <c r="B35" s="37" t="s">
        <v>41</v>
      </c>
      <c r="C35" s="120">
        <f>MAX(D26:D34)</f>
        <v>35</v>
      </c>
      <c r="D35" s="120"/>
      <c r="E35" s="38"/>
      <c r="F35" s="31">
        <f>SUM(F26:F34)</f>
        <v>5</v>
      </c>
      <c r="G35" s="39">
        <f>SUM(G26:G34)</f>
        <v>5</v>
      </c>
      <c r="H35" s="40"/>
      <c r="I35" s="23"/>
      <c r="J35" s="23"/>
      <c r="K35" s="65"/>
    </row>
    <row r="36" spans="2:15" ht="18.75" customHeight="1" x14ac:dyDescent="0.35">
      <c r="B36" s="41" t="s">
        <v>5</v>
      </c>
      <c r="C36" s="111">
        <f>C35*G35/$C$4</f>
        <v>43.75</v>
      </c>
      <c r="D36" s="111"/>
      <c r="E36" s="42"/>
      <c r="G36" s="3"/>
      <c r="H36" s="43"/>
      <c r="J36" s="23"/>
      <c r="K36" s="65"/>
    </row>
    <row r="37" spans="2:15" ht="18.75" customHeight="1" x14ac:dyDescent="0.35">
      <c r="B37" s="41" t="s">
        <v>42</v>
      </c>
      <c r="C37" s="111">
        <f>C35*F35/$C$4</f>
        <v>43.75</v>
      </c>
      <c r="D37" s="111"/>
      <c r="E37" s="42"/>
      <c r="G37" s="3"/>
      <c r="H37" s="43"/>
      <c r="J37" s="23"/>
      <c r="K37" s="65"/>
    </row>
    <row r="38" spans="2:15" ht="18.75" customHeight="1" x14ac:dyDescent="0.35">
      <c r="B38" s="45"/>
      <c r="C38" s="45"/>
      <c r="D38" s="45"/>
      <c r="E38" s="45"/>
      <c r="F38" s="45"/>
      <c r="G38" s="45"/>
      <c r="H38" s="45"/>
      <c r="I38" s="45"/>
      <c r="J38" s="23"/>
      <c r="K38" s="65"/>
    </row>
    <row r="39" spans="2:15" ht="18.75" customHeight="1" x14ac:dyDescent="0.35">
      <c r="B39" s="22" t="s">
        <v>47</v>
      </c>
      <c r="C39" s="19"/>
      <c r="D39" s="19"/>
      <c r="E39" s="19"/>
      <c r="F39" s="23"/>
      <c r="G39" s="24"/>
      <c r="H39" s="24"/>
      <c r="I39" s="23"/>
      <c r="J39" s="23"/>
      <c r="K39" s="65"/>
    </row>
    <row r="40" spans="2:15" ht="31" x14ac:dyDescent="0.3">
      <c r="B40" s="7" t="s">
        <v>22</v>
      </c>
      <c r="C40" s="25" t="s">
        <v>48</v>
      </c>
      <c r="D40" s="25" t="s">
        <v>49</v>
      </c>
      <c r="F40" s="26" t="s">
        <v>25</v>
      </c>
      <c r="G40" s="27" t="s">
        <v>26</v>
      </c>
      <c r="I40" s="79"/>
      <c r="J40" s="79"/>
      <c r="K40" s="80"/>
      <c r="L40" s="79"/>
      <c r="M40" s="79"/>
    </row>
    <row r="41" spans="2:15" ht="18.75" customHeight="1" x14ac:dyDescent="0.35">
      <c r="B41" s="28" t="s">
        <v>47</v>
      </c>
      <c r="C41" s="29">
        <v>120</v>
      </c>
      <c r="D41" s="30">
        <f>C41*F41/G41</f>
        <v>0</v>
      </c>
      <c r="F41" s="31"/>
      <c r="G41" s="32">
        <v>1</v>
      </c>
      <c r="I41" s="34"/>
      <c r="J41" s="23"/>
      <c r="K41" s="69"/>
      <c r="L41" s="23"/>
      <c r="M41" s="65"/>
      <c r="O41" s="81"/>
    </row>
    <row r="42" spans="2:15" ht="18.75" customHeight="1" x14ac:dyDescent="0.35">
      <c r="B42" s="41" t="s">
        <v>7</v>
      </c>
      <c r="C42" s="111">
        <f>SUM(C41:C41)/$C$4</f>
        <v>30</v>
      </c>
      <c r="D42" s="111"/>
      <c r="E42" s="42"/>
      <c r="G42" s="43"/>
      <c r="H42" s="43"/>
      <c r="J42" s="23"/>
      <c r="K42" s="65"/>
    </row>
    <row r="43" spans="2:15" ht="18.75" customHeight="1" x14ac:dyDescent="0.35">
      <c r="B43" s="44" t="s">
        <v>42</v>
      </c>
      <c r="C43" s="111">
        <f>SUM(D41:D41)/$C$4</f>
        <v>0</v>
      </c>
      <c r="D43" s="111"/>
      <c r="E43" s="42"/>
      <c r="G43" s="43"/>
      <c r="H43" s="43"/>
      <c r="J43" s="23"/>
      <c r="K43" s="65"/>
    </row>
    <row r="44" spans="2:15" ht="18.75" customHeight="1" x14ac:dyDescent="0.35">
      <c r="B44" s="45"/>
      <c r="C44" s="45"/>
      <c r="D44" s="45"/>
      <c r="E44" s="45"/>
      <c r="F44" s="45"/>
      <c r="G44" s="45"/>
      <c r="H44" s="45"/>
      <c r="I44" s="45"/>
      <c r="J44" s="23"/>
      <c r="K44" s="65"/>
    </row>
    <row r="45" spans="2:15" s="2" customFormat="1" ht="18.75" customHeight="1" x14ac:dyDescent="0.45">
      <c r="B45" s="46" t="s">
        <v>50</v>
      </c>
      <c r="C45" s="47"/>
      <c r="D45" s="48"/>
      <c r="E45" s="48"/>
      <c r="F45" s="48"/>
      <c r="G45" s="49"/>
      <c r="H45" s="49"/>
      <c r="I45" s="82"/>
      <c r="J45" s="48"/>
      <c r="K45" s="48"/>
      <c r="L45" s="48"/>
    </row>
    <row r="46" spans="2:15" s="2" customFormat="1" ht="37" x14ac:dyDescent="0.3">
      <c r="B46" s="7" t="s">
        <v>22</v>
      </c>
      <c r="C46" s="25" t="s">
        <v>51</v>
      </c>
      <c r="D46" s="25" t="s">
        <v>52</v>
      </c>
      <c r="F46" s="50" t="s">
        <v>25</v>
      </c>
      <c r="G46" s="51" t="s">
        <v>26</v>
      </c>
      <c r="H46" s="52"/>
      <c r="I46" s="83"/>
      <c r="J46" s="84" t="s">
        <v>53</v>
      </c>
      <c r="K46" s="85" t="s">
        <v>54</v>
      </c>
      <c r="L46" s="84" t="s">
        <v>55</v>
      </c>
      <c r="M46" s="84" t="s">
        <v>56</v>
      </c>
      <c r="N46" s="84" t="s">
        <v>57</v>
      </c>
    </row>
    <row r="47" spans="2:15" s="2" customFormat="1" ht="18.75" customHeight="1" x14ac:dyDescent="0.45">
      <c r="B47" s="28" t="s">
        <v>58</v>
      </c>
      <c r="C47" s="29"/>
      <c r="D47" s="29">
        <f>C47/L47</f>
        <v>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0</v>
      </c>
      <c r="N47" s="91"/>
    </row>
    <row r="48" spans="2:15" s="2" customFormat="1" ht="18.75" customHeight="1" x14ac:dyDescent="0.45">
      <c r="B48" s="28" t="s">
        <v>60</v>
      </c>
      <c r="C48" s="29"/>
      <c r="D48" s="29" t="e">
        <f>C48/L48</f>
        <v>#DIV/0!</v>
      </c>
      <c r="F48" s="53"/>
      <c r="G48" s="54" t="e">
        <f>L48</f>
        <v>#DIV/0!</v>
      </c>
      <c r="H48" s="52"/>
      <c r="I48" s="86" t="s">
        <v>59</v>
      </c>
      <c r="J48" s="87" t="e">
        <f>ROUNDUP(C48/$C$50,0)</f>
        <v>#DIV/0!</v>
      </c>
      <c r="K48" s="88">
        <f>5*4</f>
        <v>20</v>
      </c>
      <c r="L48" s="89" t="e">
        <f>IF(J48&gt;10,10,J48)</f>
        <v>#DIV/0!</v>
      </c>
      <c r="M48" s="90" t="e">
        <f>C48/L48</f>
        <v>#DIV/0!</v>
      </c>
      <c r="N48" s="91">
        <v>1</v>
      </c>
    </row>
    <row r="49" spans="2:15" s="2" customFormat="1" ht="18.75" customHeight="1" x14ac:dyDescent="0.45">
      <c r="B49" s="55" t="s">
        <v>61</v>
      </c>
      <c r="C49" s="29"/>
      <c r="D49" s="29">
        <f>C49/L49</f>
        <v>0</v>
      </c>
      <c r="F49" s="53"/>
      <c r="G49" s="54">
        <f>L49</f>
        <v>1</v>
      </c>
      <c r="H49" s="52"/>
      <c r="I49" s="86" t="s">
        <v>59</v>
      </c>
      <c r="J49" s="87">
        <v>1</v>
      </c>
      <c r="K49" s="88"/>
      <c r="L49" s="89">
        <v>1</v>
      </c>
      <c r="M49" s="90">
        <f>C49/L49</f>
        <v>0</v>
      </c>
      <c r="N49" s="91"/>
    </row>
    <row r="50" spans="2:15" s="2" customFormat="1" ht="18.75" customHeight="1" x14ac:dyDescent="0.45">
      <c r="B50" s="28" t="s">
        <v>62</v>
      </c>
      <c r="C50" s="29"/>
      <c r="D50" s="29">
        <f>C50</f>
        <v>0</v>
      </c>
      <c r="F50" s="53">
        <v>1</v>
      </c>
      <c r="G50" s="54">
        <f t="shared" ref="G50:G51" si="0">L50</f>
        <v>0</v>
      </c>
      <c r="H50" s="52"/>
      <c r="I50" s="86"/>
      <c r="J50" s="87"/>
      <c r="K50" s="88"/>
      <c r="L50" s="89"/>
      <c r="M50" s="90">
        <f>D50</f>
        <v>0</v>
      </c>
      <c r="N50" s="91"/>
    </row>
    <row r="51" spans="2:15" s="2" customFormat="1" ht="18.75" customHeight="1" x14ac:dyDescent="0.45">
      <c r="B51" s="56" t="s">
        <v>63</v>
      </c>
      <c r="C51" s="29"/>
      <c r="D51" s="29">
        <f>C51/G51</f>
        <v>0</v>
      </c>
      <c r="F51" s="53"/>
      <c r="G51" s="54">
        <f t="shared" si="0"/>
        <v>1</v>
      </c>
      <c r="H51" s="52"/>
      <c r="I51" s="86" t="s">
        <v>59</v>
      </c>
      <c r="J51" s="87" t="e">
        <f>ROUNDUP(C51/$C$50,0)</f>
        <v>#DIV/0!</v>
      </c>
      <c r="K51" s="88"/>
      <c r="L51" s="89">
        <v>1</v>
      </c>
      <c r="M51" s="90">
        <f>C51/L51</f>
        <v>0</v>
      </c>
      <c r="N51" s="91"/>
    </row>
    <row r="52" spans="2:15" s="2" customFormat="1" ht="18.75" customHeight="1" x14ac:dyDescent="0.45">
      <c r="B52" s="28" t="s">
        <v>64</v>
      </c>
      <c r="C52" s="29"/>
      <c r="D52" s="29">
        <f t="shared" ref="D52:D55" si="1">C52/G52</f>
        <v>0</v>
      </c>
      <c r="F52" s="53"/>
      <c r="G52" s="54">
        <v>1</v>
      </c>
      <c r="H52" s="52"/>
      <c r="I52" s="86" t="s">
        <v>59</v>
      </c>
      <c r="J52" s="87" t="e">
        <f>ROUNDUP(C52/$C$50,0)</f>
        <v>#DIV/0!</v>
      </c>
      <c r="K52" s="88"/>
      <c r="L52" s="89">
        <v>1</v>
      </c>
      <c r="M52" s="90">
        <f t="shared" ref="M52:M55" si="2">C52/L52</f>
        <v>0</v>
      </c>
      <c r="N52" s="91"/>
    </row>
    <row r="53" spans="2:15" s="2" customFormat="1" ht="18.75" customHeight="1" x14ac:dyDescent="0.45">
      <c r="B53" s="28" t="s">
        <v>65</v>
      </c>
      <c r="C53" s="29"/>
      <c r="D53" s="29">
        <f t="shared" si="1"/>
        <v>0</v>
      </c>
      <c r="F53" s="53"/>
      <c r="G53" s="54">
        <v>1</v>
      </c>
      <c r="H53" s="52"/>
      <c r="I53" s="86" t="s">
        <v>59</v>
      </c>
      <c r="J53" s="87" t="e">
        <f>ROUNDUP(C53/$C$50,0)</f>
        <v>#DIV/0!</v>
      </c>
      <c r="K53" s="88"/>
      <c r="L53" s="89">
        <v>1</v>
      </c>
      <c r="M53" s="90">
        <f t="shared" si="2"/>
        <v>0</v>
      </c>
      <c r="N53" s="91"/>
    </row>
    <row r="54" spans="2:15" s="2" customFormat="1" ht="18.75" customHeight="1" x14ac:dyDescent="0.45">
      <c r="B54" s="28" t="s">
        <v>66</v>
      </c>
      <c r="C54" s="29"/>
      <c r="D54" s="29">
        <f t="shared" si="1"/>
        <v>0</v>
      </c>
      <c r="F54" s="53"/>
      <c r="G54" s="54">
        <v>1</v>
      </c>
      <c r="H54" s="52"/>
      <c r="I54" s="86" t="s">
        <v>59</v>
      </c>
      <c r="J54" s="87" t="e">
        <f>ROUNDUP(C54/$C$50,0)</f>
        <v>#DIV/0!</v>
      </c>
      <c r="K54" s="88"/>
      <c r="L54" s="89">
        <v>1</v>
      </c>
      <c r="M54" s="90">
        <f t="shared" si="2"/>
        <v>0</v>
      </c>
      <c r="N54" s="91"/>
    </row>
    <row r="55" spans="2:15" s="2" customFormat="1" ht="18.75" customHeight="1" x14ac:dyDescent="0.45">
      <c r="B55" s="28" t="s">
        <v>67</v>
      </c>
      <c r="C55" s="29"/>
      <c r="D55" s="29">
        <f t="shared" si="1"/>
        <v>0</v>
      </c>
      <c r="F55" s="53"/>
      <c r="G55" s="54">
        <v>2</v>
      </c>
      <c r="H55" s="52"/>
      <c r="I55" s="86" t="s">
        <v>59</v>
      </c>
      <c r="J55" s="87" t="e">
        <f>ROUNDUP(C55/$C$50,0)</f>
        <v>#DIV/0!</v>
      </c>
      <c r="K55" s="88"/>
      <c r="L55" s="89">
        <v>4</v>
      </c>
      <c r="M55" s="90">
        <f t="shared" si="2"/>
        <v>0</v>
      </c>
      <c r="N55" s="91"/>
    </row>
    <row r="56" spans="2:15" s="2" customFormat="1" ht="18.75" customHeight="1" x14ac:dyDescent="0.45">
      <c r="B56" s="41" t="s">
        <v>6</v>
      </c>
      <c r="C56" s="111"/>
      <c r="D56" s="111"/>
      <c r="E56" s="57"/>
      <c r="F56" s="2">
        <f>SUM(F47:F55)</f>
        <v>1</v>
      </c>
      <c r="G56" s="2" t="e">
        <f>SUM(G47:G55)</f>
        <v>#DIV/0!</v>
      </c>
      <c r="H56" s="52"/>
      <c r="I56" s="86" t="s">
        <v>68</v>
      </c>
      <c r="J56" s="87" t="e">
        <f>SUM(J47:J55)</f>
        <v>#DIV/0!</v>
      </c>
      <c r="K56" s="88"/>
      <c r="L56" s="92" t="e">
        <f>SUM(L47:L55)</f>
        <v>#DIV/0!</v>
      </c>
      <c r="M56" s="93" t="e">
        <f>MAX(M47:M55)*L56</f>
        <v>#DIV/0!</v>
      </c>
      <c r="N56" s="89"/>
    </row>
    <row r="57" spans="2:15" s="2" customFormat="1" ht="18.75" customHeight="1" x14ac:dyDescent="0.45">
      <c r="B57" s="58" t="s">
        <v>42</v>
      </c>
      <c r="C57" s="111"/>
      <c r="D57" s="111"/>
      <c r="E57" s="59"/>
      <c r="F57" s="60"/>
      <c r="G57" s="61"/>
      <c r="H57" s="61"/>
      <c r="I57" s="94"/>
      <c r="J57" s="60"/>
      <c r="K57" s="60"/>
      <c r="L57" s="60"/>
    </row>
    <row r="59" spans="2:15" ht="18.75" customHeight="1" x14ac:dyDescent="0.35">
      <c r="B59" s="22" t="s">
        <v>69</v>
      </c>
      <c r="C59" s="19"/>
      <c r="D59" s="19"/>
      <c r="E59" s="19"/>
      <c r="F59" s="23"/>
      <c r="G59" s="24"/>
      <c r="H59" s="24"/>
      <c r="I59" s="23"/>
      <c r="J59" s="23"/>
      <c r="K59" s="65"/>
    </row>
    <row r="60" spans="2:15" ht="31" x14ac:dyDescent="0.3">
      <c r="B60" s="7" t="s">
        <v>22</v>
      </c>
      <c r="C60" s="25" t="s">
        <v>48</v>
      </c>
      <c r="D60" s="25" t="s">
        <v>49</v>
      </c>
      <c r="F60" s="26" t="s">
        <v>25</v>
      </c>
      <c r="G60" s="27" t="s">
        <v>26</v>
      </c>
      <c r="I60" s="79"/>
      <c r="J60" s="79"/>
      <c r="K60" s="80"/>
      <c r="L60" s="79"/>
      <c r="M60" s="79"/>
    </row>
    <row r="61" spans="2:15" ht="18.75" customHeight="1" x14ac:dyDescent="0.35">
      <c r="B61" s="28" t="s">
        <v>69</v>
      </c>
      <c r="C61" s="29">
        <v>0</v>
      </c>
      <c r="D61" s="30">
        <f>C61*F61</f>
        <v>0</v>
      </c>
      <c r="F61" s="31">
        <v>1</v>
      </c>
      <c r="G61" s="32">
        <v>1</v>
      </c>
      <c r="I61" s="34"/>
      <c r="J61" s="23"/>
      <c r="K61" s="69"/>
      <c r="L61" s="23"/>
      <c r="M61" s="65"/>
      <c r="O61" s="81"/>
    </row>
    <row r="62" spans="2:15" ht="18.75" customHeight="1" x14ac:dyDescent="0.35">
      <c r="B62" s="41" t="s">
        <v>8</v>
      </c>
      <c r="C62" s="111">
        <f>SUM(C61:C61)*G61/$C$4</f>
        <v>0</v>
      </c>
      <c r="D62" s="111"/>
      <c r="E62" s="42"/>
      <c r="G62" s="43"/>
      <c r="H62" s="43"/>
      <c r="J62" s="23"/>
      <c r="K62" s="65"/>
    </row>
    <row r="63" spans="2:15" ht="18.75" customHeight="1" x14ac:dyDescent="0.35">
      <c r="B63" s="44" t="s">
        <v>42</v>
      </c>
      <c r="C63" s="111">
        <f>SUM(D61:D61)/$C$4</f>
        <v>0</v>
      </c>
      <c r="D63" s="111"/>
      <c r="E63" s="42"/>
      <c r="G63" s="43"/>
      <c r="H63" s="43"/>
      <c r="J63" s="23"/>
      <c r="K63" s="65"/>
    </row>
    <row r="64" spans="2:15" ht="18.75" customHeight="1" x14ac:dyDescent="0.35">
      <c r="B64" s="45"/>
      <c r="C64" s="45"/>
      <c r="D64" s="45"/>
      <c r="E64" s="45"/>
      <c r="F64" s="45"/>
      <c r="G64" s="45"/>
      <c r="H64" s="45"/>
      <c r="I64" s="45"/>
      <c r="J64" s="23"/>
      <c r="K64" s="65"/>
    </row>
    <row r="65" spans="2:15" ht="18.75" customHeight="1" x14ac:dyDescent="0.4">
      <c r="B65" s="62" t="s">
        <v>70</v>
      </c>
      <c r="C65" s="19"/>
      <c r="D65" s="19"/>
      <c r="E65" s="19"/>
      <c r="F65" s="23"/>
      <c r="G65" s="24"/>
      <c r="H65" s="24"/>
      <c r="I65" s="23"/>
      <c r="J65" s="23"/>
      <c r="K65" s="65"/>
    </row>
    <row r="66" spans="2:15" ht="31" x14ac:dyDescent="0.3">
      <c r="B66" s="7" t="s">
        <v>22</v>
      </c>
      <c r="C66" s="25" t="s">
        <v>48</v>
      </c>
      <c r="D66" s="25" t="s">
        <v>49</v>
      </c>
      <c r="F66" s="26" t="s">
        <v>25</v>
      </c>
      <c r="G66" s="27" t="s">
        <v>26</v>
      </c>
      <c r="I66" s="79"/>
      <c r="J66" s="79"/>
      <c r="K66" s="80"/>
      <c r="L66" s="79"/>
      <c r="M66" s="79"/>
    </row>
    <row r="67" spans="2:15" ht="18.75" customHeight="1" x14ac:dyDescent="0.35">
      <c r="B67" s="55" t="s">
        <v>70</v>
      </c>
      <c r="C67" s="29">
        <v>60</v>
      </c>
      <c r="D67" s="30">
        <f>C67*F67</f>
        <v>0</v>
      </c>
      <c r="F67" s="31"/>
      <c r="G67" s="32">
        <v>1</v>
      </c>
      <c r="I67" s="34"/>
      <c r="J67" s="23"/>
      <c r="K67" s="69"/>
      <c r="L67" s="23"/>
      <c r="M67" s="65"/>
      <c r="O67" s="81"/>
    </row>
    <row r="68" spans="2:15" ht="18.75" customHeight="1" x14ac:dyDescent="0.35">
      <c r="B68" s="41" t="s">
        <v>9</v>
      </c>
      <c r="C68" s="111">
        <f>SUM(C67:C67)*G67</f>
        <v>60</v>
      </c>
      <c r="D68" s="111"/>
      <c r="E68" s="42"/>
      <c r="G68" s="43"/>
      <c r="H68" s="43"/>
      <c r="J68" s="23"/>
      <c r="K68" s="65"/>
    </row>
    <row r="69" spans="2:15" ht="18.75" customHeight="1" x14ac:dyDescent="0.35">
      <c r="B69" s="44" t="s">
        <v>42</v>
      </c>
      <c r="C69" s="111">
        <f>SUM(D67:D67)/$C$4</f>
        <v>0</v>
      </c>
      <c r="D69" s="111"/>
      <c r="E69" s="42"/>
      <c r="G69" s="43"/>
      <c r="H69" s="43"/>
      <c r="J69" s="23"/>
      <c r="K69" s="65"/>
    </row>
    <row r="70" spans="2:15" ht="18.75" customHeight="1" x14ac:dyDescent="0.35">
      <c r="B70" s="45"/>
      <c r="C70" s="45"/>
      <c r="D70" s="45"/>
      <c r="E70" s="45"/>
      <c r="F70" s="45"/>
      <c r="G70" s="45"/>
      <c r="H70" s="45"/>
      <c r="I70" s="45"/>
      <c r="J70" s="23"/>
      <c r="K70" s="65"/>
    </row>
    <row r="71" spans="2:15" x14ac:dyDescent="0.35">
      <c r="B71" s="95" t="s">
        <v>71</v>
      </c>
      <c r="C71" s="96"/>
      <c r="D71" s="96"/>
      <c r="E71" s="96"/>
      <c r="F71" s="97"/>
      <c r="G71" s="98"/>
      <c r="H71" s="99"/>
      <c r="I71" s="99"/>
      <c r="J71" s="99"/>
      <c r="K71" s="99"/>
      <c r="L71" s="99"/>
      <c r="M71" s="99"/>
      <c r="N71" s="99"/>
    </row>
    <row r="72" spans="2:15" ht="31" x14ac:dyDescent="0.35">
      <c r="B72" s="7" t="s">
        <v>22</v>
      </c>
      <c r="C72" s="25" t="s">
        <v>48</v>
      </c>
      <c r="D72" s="25" t="s">
        <v>49</v>
      </c>
      <c r="E72" s="100"/>
      <c r="F72" s="26" t="s">
        <v>25</v>
      </c>
      <c r="G72" s="27" t="s">
        <v>26</v>
      </c>
      <c r="H72" s="99"/>
      <c r="I72" s="99"/>
      <c r="J72" s="99"/>
      <c r="K72" s="99"/>
      <c r="L72" s="99"/>
      <c r="M72" s="99"/>
      <c r="N72" s="99"/>
    </row>
    <row r="73" spans="2:15" ht="20.25" customHeight="1" x14ac:dyDescent="0.35">
      <c r="B73" s="101" t="s">
        <v>2</v>
      </c>
      <c r="C73" s="102">
        <v>30</v>
      </c>
      <c r="D73" s="103">
        <f>C73*F73</f>
        <v>30</v>
      </c>
      <c r="E73" s="100"/>
      <c r="F73" s="104">
        <v>1</v>
      </c>
      <c r="G73" s="105">
        <v>1</v>
      </c>
      <c r="H73" s="99"/>
      <c r="I73" s="99"/>
      <c r="J73" s="99"/>
      <c r="K73" s="99"/>
      <c r="L73" s="99"/>
      <c r="M73" s="99"/>
      <c r="N73" s="99"/>
    </row>
    <row r="74" spans="2:15" ht="20.25" customHeight="1" x14ac:dyDescent="0.35">
      <c r="B74" s="106" t="s">
        <v>94</v>
      </c>
      <c r="C74" s="102"/>
      <c r="D74" s="103"/>
      <c r="E74" s="100"/>
      <c r="F74" s="104"/>
      <c r="G74" s="105">
        <v>1</v>
      </c>
      <c r="H74" s="99"/>
      <c r="I74" s="99"/>
      <c r="J74" s="99"/>
      <c r="K74" s="99"/>
      <c r="L74" s="99"/>
      <c r="M74" s="99"/>
      <c r="N74" s="99"/>
    </row>
    <row r="75" spans="2:15" ht="20.25" customHeight="1" x14ac:dyDescent="0.35">
      <c r="B75" s="106" t="s">
        <v>11</v>
      </c>
      <c r="C75" s="102"/>
      <c r="D75" s="103"/>
      <c r="E75" s="100"/>
      <c r="F75" s="104"/>
      <c r="G75" s="105"/>
      <c r="H75" s="99"/>
      <c r="I75" s="99"/>
      <c r="J75" s="99"/>
      <c r="K75" s="99"/>
      <c r="L75" s="99"/>
      <c r="M75" s="99"/>
      <c r="N75" s="99"/>
    </row>
    <row r="76" spans="2:15" ht="20.25" customHeight="1" x14ac:dyDescent="0.35">
      <c r="B76" s="106" t="s">
        <v>95</v>
      </c>
      <c r="C76" s="102">
        <f>D76*G76/F76</f>
        <v>30</v>
      </c>
      <c r="D76" s="102">
        <v>15</v>
      </c>
      <c r="E76" s="100"/>
      <c r="F76" s="104">
        <v>1</v>
      </c>
      <c r="G76" s="105">
        <v>2</v>
      </c>
      <c r="H76" s="99"/>
      <c r="I76" s="99"/>
      <c r="J76" s="99"/>
      <c r="K76" s="99"/>
      <c r="L76" s="99"/>
      <c r="M76" s="99"/>
      <c r="N76" s="99"/>
    </row>
    <row r="77" spans="2:15" ht="20.25" customHeight="1" x14ac:dyDescent="0.35">
      <c r="B77" s="106" t="s">
        <v>74</v>
      </c>
      <c r="C77" s="102">
        <f>D76*G77/F76</f>
        <v>0</v>
      </c>
      <c r="D77" s="103"/>
      <c r="E77" s="100"/>
      <c r="F77" s="104"/>
      <c r="G77" s="105"/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106" t="s">
        <v>75</v>
      </c>
      <c r="C78" s="102">
        <f>D76*G78/F76</f>
        <v>0</v>
      </c>
      <c r="D78" s="103"/>
      <c r="E78" s="100"/>
      <c r="F78" s="104"/>
      <c r="G78" s="105"/>
      <c r="H78" s="99"/>
      <c r="I78" s="99"/>
      <c r="J78" s="99"/>
      <c r="K78" s="99"/>
      <c r="L78" s="99"/>
      <c r="M78" s="99"/>
      <c r="N78" s="99"/>
    </row>
    <row r="79" spans="2:15" ht="20.25" customHeight="1" x14ac:dyDescent="0.35">
      <c r="B79" s="41" t="s">
        <v>10</v>
      </c>
      <c r="C79" s="112">
        <f>SUM(C73:C78)</f>
        <v>60</v>
      </c>
      <c r="D79" s="113"/>
      <c r="E79" s="107"/>
      <c r="F79" s="100"/>
      <c r="G79" s="108"/>
      <c r="H79" s="99"/>
      <c r="I79" s="99"/>
      <c r="J79" s="99"/>
      <c r="K79" s="99"/>
      <c r="L79" s="99"/>
      <c r="M79" s="99"/>
      <c r="N79" s="99"/>
    </row>
    <row r="80" spans="2:15" ht="20.25" customHeight="1" x14ac:dyDescent="0.35">
      <c r="B80" s="109" t="s">
        <v>42</v>
      </c>
      <c r="C80" s="112">
        <f>SUM(D73:D78)</f>
        <v>45</v>
      </c>
      <c r="D80" s="113"/>
      <c r="E80" s="107"/>
      <c r="F80" s="100"/>
      <c r="G80" s="108"/>
      <c r="H80" s="99"/>
      <c r="I80" s="99"/>
      <c r="J80" s="99"/>
      <c r="K80" s="99"/>
      <c r="L80" s="99"/>
      <c r="M80" s="99"/>
      <c r="N80" s="99"/>
    </row>
  </sheetData>
  <mergeCells count="22">
    <mergeCell ref="C43:D43"/>
    <mergeCell ref="B1:F1"/>
    <mergeCell ref="C2:F2"/>
    <mergeCell ref="C20:D20"/>
    <mergeCell ref="C21:D21"/>
    <mergeCell ref="C22:D22"/>
    <mergeCell ref="C69:D69"/>
    <mergeCell ref="C79:D79"/>
    <mergeCell ref="C80:D80"/>
    <mergeCell ref="B3:B4"/>
    <mergeCell ref="C4:C5"/>
    <mergeCell ref="D4:D5"/>
    <mergeCell ref="B8:G9"/>
    <mergeCell ref="C56:D56"/>
    <mergeCell ref="C57:D57"/>
    <mergeCell ref="C62:D62"/>
    <mergeCell ref="C63:D63"/>
    <mergeCell ref="C68:D68"/>
    <mergeCell ref="C35:D35"/>
    <mergeCell ref="C36:D36"/>
    <mergeCell ref="C37:D37"/>
    <mergeCell ref="C42:D42"/>
  </mergeCells>
  <phoneticPr fontId="3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FF00"/>
  </sheetPr>
  <dimension ref="B1:O78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customWidth="1" outlineLevel="1"/>
    <col min="10" max="11" width="10.5" style="3" customWidth="1" outlineLevel="1"/>
    <col min="12" max="12" width="15.33203125" style="3" customWidth="1" outlineLevel="1"/>
    <col min="13" max="13" width="12.58203125" style="3" customWidth="1" outlineLevel="1"/>
    <col min="14" max="14" width="15.58203125" style="3" customWidth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x14ac:dyDescent="0.35">
      <c r="B2" s="7" t="s">
        <v>13</v>
      </c>
      <c r="C2" s="124" t="s">
        <v>80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2</v>
      </c>
      <c r="D4" s="118">
        <v>0.26</v>
      </c>
      <c r="E4" s="12">
        <f>K15</f>
        <v>160</v>
      </c>
      <c r="F4" s="12"/>
      <c r="L4" s="6"/>
      <c r="M4" s="8"/>
    </row>
    <row r="5" spans="2:14" ht="18.75" customHeight="1" x14ac:dyDescent="0.35">
      <c r="B5" s="11"/>
      <c r="C5" s="117"/>
      <c r="D5" s="118"/>
      <c r="E5" s="12">
        <f>K28</f>
        <v>206</v>
      </c>
      <c r="F5" s="12"/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C20+C34+C54+C77+C40+C60+C66</f>
        <v>355</v>
      </c>
      <c r="D6" s="15">
        <f>(C6-F6)/0.8</f>
        <v>393.75</v>
      </c>
      <c r="E6" s="16" t="s">
        <v>20</v>
      </c>
      <c r="F6" s="17">
        <f>VLOOKUP(E6,$B$68:$C$82,2,0)</f>
        <v>40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C21+C35+C55+C78+C41+C61+C67</f>
        <v>175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/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30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26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160</v>
      </c>
      <c r="L15" s="73">
        <v>5</v>
      </c>
      <c r="M15" s="74">
        <v>0.64400000000000002</v>
      </c>
    </row>
    <row r="16" spans="2:14" ht="18.75" customHeight="1" x14ac:dyDescent="0.35">
      <c r="B16" s="28" t="s">
        <v>37</v>
      </c>
      <c r="C16" s="29"/>
      <c r="D16" s="30">
        <f>($D$4+0.15)/0.95*60</f>
        <v>25.894736842105299</v>
      </c>
      <c r="F16" s="31">
        <v>1</v>
      </c>
      <c r="G16" s="32"/>
      <c r="I16" s="75"/>
      <c r="J16" s="76"/>
      <c r="K16" s="4"/>
      <c r="L16" s="77"/>
      <c r="M16" s="65"/>
    </row>
    <row r="17" spans="2:13" ht="18.75" customHeight="1" x14ac:dyDescent="0.35">
      <c r="B17" s="28" t="s">
        <v>38</v>
      </c>
      <c r="C17" s="29"/>
      <c r="D17" s="30">
        <v>30</v>
      </c>
      <c r="F17" s="31"/>
      <c r="G17" s="32"/>
      <c r="I17" s="73" t="s">
        <v>39</v>
      </c>
      <c r="J17" s="78">
        <f>SUM(D15:D15)/(MAX(D15:D15)*COUNT(D15:D15))</f>
        <v>1</v>
      </c>
      <c r="K17" s="4"/>
      <c r="L17" s="23"/>
      <c r="M17" s="65"/>
    </row>
    <row r="18" spans="2:13" ht="18.75" customHeight="1" x14ac:dyDescent="0.35">
      <c r="B18" s="28" t="s">
        <v>40</v>
      </c>
      <c r="C18" s="29">
        <v>30</v>
      </c>
      <c r="D18" s="30"/>
      <c r="E18" s="34"/>
      <c r="F18" s="35"/>
      <c r="G18" s="36">
        <v>1</v>
      </c>
      <c r="H18" s="18"/>
      <c r="I18" s="23"/>
      <c r="J18" s="23"/>
      <c r="K18" s="65"/>
    </row>
    <row r="19" spans="2:13" ht="18.75" customHeight="1" x14ac:dyDescent="0.35">
      <c r="B19" s="37" t="s">
        <v>41</v>
      </c>
      <c r="C19" s="120">
        <f>MAX(D12:D18)</f>
        <v>30</v>
      </c>
      <c r="D19" s="120"/>
      <c r="E19" s="38"/>
      <c r="F19" s="31">
        <f>SUM(F12:F18)</f>
        <v>3</v>
      </c>
      <c r="G19" s="39">
        <f>SUM(G12:G18)</f>
        <v>4</v>
      </c>
      <c r="H19" s="40"/>
      <c r="I19" s="23"/>
      <c r="J19" s="23"/>
      <c r="K19" s="65"/>
    </row>
    <row r="20" spans="2:13" ht="18.75" customHeight="1" x14ac:dyDescent="0.35">
      <c r="B20" s="41" t="s">
        <v>4</v>
      </c>
      <c r="C20" s="111">
        <f>C19*G19/$C$4</f>
        <v>60</v>
      </c>
      <c r="D20" s="111"/>
      <c r="E20" s="42"/>
      <c r="G20" s="3"/>
      <c r="H20" s="43"/>
      <c r="J20" s="23"/>
      <c r="K20" s="65"/>
    </row>
    <row r="21" spans="2:13" ht="18.75" customHeight="1" x14ac:dyDescent="0.35">
      <c r="B21" s="44" t="s">
        <v>42</v>
      </c>
      <c r="C21" s="111">
        <f>C19*F19/$C$4</f>
        <v>45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5"/>
      <c r="C22" s="45"/>
      <c r="D22" s="45"/>
      <c r="E22" s="45"/>
      <c r="F22" s="45"/>
      <c r="G22" s="45"/>
      <c r="H22" s="45"/>
      <c r="I22" s="45"/>
      <c r="J22" s="23"/>
      <c r="K22" s="65"/>
    </row>
    <row r="23" spans="2:13" ht="18.75" customHeight="1" x14ac:dyDescent="0.35">
      <c r="B23" s="22" t="s">
        <v>43</v>
      </c>
      <c r="C23" s="19"/>
      <c r="D23" s="19"/>
      <c r="E23" s="19"/>
      <c r="F23" s="23"/>
      <c r="G23" s="24"/>
      <c r="H23" s="24"/>
      <c r="I23" s="23"/>
      <c r="J23" s="23"/>
      <c r="K23" s="65"/>
    </row>
    <row r="24" spans="2:13" ht="31" x14ac:dyDescent="0.3">
      <c r="B24" s="7" t="s">
        <v>22</v>
      </c>
      <c r="C24" s="25" t="s">
        <v>23</v>
      </c>
      <c r="D24" s="25" t="s">
        <v>24</v>
      </c>
      <c r="F24" s="26" t="s">
        <v>25</v>
      </c>
      <c r="G24" s="27" t="s">
        <v>26</v>
      </c>
      <c r="I24" s="66" t="s">
        <v>27</v>
      </c>
      <c r="J24" s="67" t="s">
        <v>28</v>
      </c>
      <c r="K24" s="68" t="s">
        <v>29</v>
      </c>
      <c r="L24" s="66" t="s">
        <v>30</v>
      </c>
      <c r="M24" s="66" t="s">
        <v>31</v>
      </c>
    </row>
    <row r="25" spans="2:13" ht="18.75" customHeight="1" x14ac:dyDescent="0.35">
      <c r="B25" s="28" t="s">
        <v>32</v>
      </c>
      <c r="C25" s="29">
        <v>30</v>
      </c>
      <c r="D25" s="30"/>
      <c r="F25" s="31"/>
      <c r="G25" s="32">
        <v>1</v>
      </c>
      <c r="I25" s="34"/>
      <c r="J25" s="23"/>
      <c r="K25" s="69"/>
      <c r="L25" s="23"/>
      <c r="M25" s="65"/>
    </row>
    <row r="26" spans="2:13" ht="18.75" customHeight="1" x14ac:dyDescent="0.35">
      <c r="B26" s="28" t="s">
        <v>33</v>
      </c>
      <c r="C26" s="29"/>
      <c r="D26" s="33">
        <v>30</v>
      </c>
      <c r="F26" s="31">
        <v>1</v>
      </c>
      <c r="G26" s="32"/>
      <c r="I26" s="34"/>
      <c r="J26" s="23"/>
      <c r="K26" s="69"/>
      <c r="L26" s="23"/>
      <c r="M26" s="65"/>
    </row>
    <row r="27" spans="2:13" ht="18.75" customHeight="1" x14ac:dyDescent="0.35">
      <c r="B27" s="28" t="s">
        <v>34</v>
      </c>
      <c r="C27" s="29"/>
      <c r="D27" s="30">
        <v>30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44</v>
      </c>
      <c r="C28" s="29"/>
      <c r="D28" s="30">
        <v>30</v>
      </c>
      <c r="F28" s="31">
        <v>1</v>
      </c>
      <c r="G28" s="32">
        <v>1</v>
      </c>
      <c r="I28" s="70">
        <v>0.63</v>
      </c>
      <c r="J28" s="71">
        <f>3600/I28/150000</f>
        <v>3.8095238095238099E-2</v>
      </c>
      <c r="K28" s="72">
        <v>206</v>
      </c>
      <c r="L28" s="73">
        <v>5</v>
      </c>
      <c r="M28" s="74">
        <v>0.64400000000000002</v>
      </c>
    </row>
    <row r="29" spans="2:13" ht="18.75" customHeight="1" x14ac:dyDescent="0.35">
      <c r="B29" s="28" t="s">
        <v>37</v>
      </c>
      <c r="C29" s="29"/>
      <c r="D29" s="30">
        <f>($D$4+0.15)/0.95*60</f>
        <v>25.894736842105299</v>
      </c>
      <c r="F29" s="31">
        <v>1</v>
      </c>
      <c r="G29" s="32"/>
      <c r="I29" s="75"/>
      <c r="J29" s="76"/>
      <c r="K29" s="4"/>
      <c r="L29" s="77"/>
      <c r="M29" s="65"/>
    </row>
    <row r="30" spans="2:13" ht="18.75" customHeight="1" x14ac:dyDescent="0.35">
      <c r="B30" s="28" t="s">
        <v>38</v>
      </c>
      <c r="C30" s="29"/>
      <c r="D30" s="30">
        <v>30</v>
      </c>
      <c r="F30" s="31">
        <v>1</v>
      </c>
      <c r="G30" s="32"/>
      <c r="I30" s="73" t="s">
        <v>39</v>
      </c>
      <c r="J30" s="78">
        <f>SUM(D28:D28)/(MAX(D28:D28)*COUNT(D28:D28))</f>
        <v>1</v>
      </c>
      <c r="K30" s="4"/>
      <c r="L30" s="23"/>
      <c r="M30" s="65"/>
    </row>
    <row r="31" spans="2:13" ht="18.75" customHeight="1" x14ac:dyDescent="0.35">
      <c r="B31" s="28" t="s">
        <v>46</v>
      </c>
      <c r="C31" s="29">
        <v>30</v>
      </c>
      <c r="D31" s="30"/>
      <c r="E31" s="34"/>
      <c r="F31" s="35"/>
      <c r="G31" s="36">
        <v>1</v>
      </c>
      <c r="H31" s="18"/>
      <c r="I31" s="23"/>
      <c r="J31" s="23"/>
      <c r="K31" s="65"/>
    </row>
    <row r="32" spans="2:13" ht="18.75" customHeight="1" x14ac:dyDescent="0.35">
      <c r="B32" s="28" t="s">
        <v>40</v>
      </c>
      <c r="C32" s="29">
        <v>30</v>
      </c>
      <c r="D32" s="30"/>
      <c r="E32" s="34"/>
      <c r="F32" s="35"/>
      <c r="G32" s="36">
        <v>1</v>
      </c>
      <c r="H32" s="18"/>
      <c r="I32" s="23"/>
      <c r="J32" s="23"/>
      <c r="K32" s="65"/>
    </row>
    <row r="33" spans="2:15" ht="18.75" customHeight="1" x14ac:dyDescent="0.35">
      <c r="B33" s="37" t="s">
        <v>41</v>
      </c>
      <c r="C33" s="120">
        <f>MAX(D25:D32)</f>
        <v>30</v>
      </c>
      <c r="D33" s="120"/>
      <c r="E33" s="38"/>
      <c r="F33" s="31">
        <f>SUM(F25:F32)</f>
        <v>5</v>
      </c>
      <c r="G33" s="39">
        <f>SUM(G25:G32)</f>
        <v>4</v>
      </c>
      <c r="H33" s="40"/>
      <c r="I33" s="23"/>
      <c r="J33" s="23"/>
      <c r="K33" s="65"/>
    </row>
    <row r="34" spans="2:15" ht="18.75" customHeight="1" x14ac:dyDescent="0.35">
      <c r="B34" s="41" t="s">
        <v>5</v>
      </c>
      <c r="C34" s="111">
        <f>C33*G33/$C$4</f>
        <v>60</v>
      </c>
      <c r="D34" s="111"/>
      <c r="E34" s="42"/>
      <c r="G34" s="3"/>
      <c r="H34" s="43"/>
      <c r="J34" s="23"/>
      <c r="K34" s="65"/>
    </row>
    <row r="35" spans="2:15" ht="18.75" customHeight="1" x14ac:dyDescent="0.35">
      <c r="B35" s="41" t="s">
        <v>42</v>
      </c>
      <c r="C35" s="111">
        <f>C33*F33/$C$4</f>
        <v>75</v>
      </c>
      <c r="D35" s="111"/>
      <c r="E35" s="42"/>
      <c r="G35" s="3"/>
      <c r="H35" s="43"/>
      <c r="J35" s="23"/>
      <c r="K35" s="65"/>
    </row>
    <row r="36" spans="2:15" ht="18.75" customHeight="1" x14ac:dyDescent="0.35">
      <c r="B36" s="45"/>
      <c r="C36" s="45"/>
      <c r="D36" s="45"/>
      <c r="E36" s="45"/>
      <c r="F36" s="45"/>
      <c r="G36" s="45"/>
      <c r="H36" s="45"/>
      <c r="I36" s="45"/>
      <c r="J36" s="23"/>
      <c r="K36" s="65"/>
    </row>
    <row r="37" spans="2:15" ht="18.75" customHeight="1" x14ac:dyDescent="0.35">
      <c r="B37" s="22" t="s">
        <v>47</v>
      </c>
      <c r="C37" s="19"/>
      <c r="D37" s="19"/>
      <c r="E37" s="19"/>
      <c r="F37" s="23"/>
      <c r="G37" s="24"/>
      <c r="H37" s="24"/>
      <c r="I37" s="23"/>
      <c r="J37" s="23"/>
      <c r="K37" s="65"/>
    </row>
    <row r="38" spans="2:15" ht="31" x14ac:dyDescent="0.3">
      <c r="B38" s="7" t="s">
        <v>22</v>
      </c>
      <c r="C38" s="25" t="s">
        <v>48</v>
      </c>
      <c r="D38" s="25" t="s">
        <v>49</v>
      </c>
      <c r="F38" s="26" t="s">
        <v>25</v>
      </c>
      <c r="G38" s="27" t="s">
        <v>26</v>
      </c>
      <c r="I38" s="79"/>
      <c r="J38" s="79"/>
      <c r="K38" s="80"/>
      <c r="L38" s="79"/>
      <c r="M38" s="79"/>
    </row>
    <row r="39" spans="2:15" ht="18.75" customHeight="1" x14ac:dyDescent="0.35">
      <c r="B39" s="28" t="s">
        <v>47</v>
      </c>
      <c r="C39" s="29">
        <v>60</v>
      </c>
      <c r="D39" s="30">
        <f>C39*F39/G39</f>
        <v>0</v>
      </c>
      <c r="F39" s="31"/>
      <c r="G39" s="32">
        <v>1</v>
      </c>
      <c r="I39" s="34"/>
      <c r="J39" s="23"/>
      <c r="K39" s="69"/>
      <c r="L39" s="23"/>
      <c r="M39" s="65"/>
      <c r="O39" s="81"/>
    </row>
    <row r="40" spans="2:15" ht="18.75" customHeight="1" x14ac:dyDescent="0.35">
      <c r="B40" s="41" t="s">
        <v>7</v>
      </c>
      <c r="C40" s="111">
        <f>SUM(C39:C39)/$C$4</f>
        <v>30</v>
      </c>
      <c r="D40" s="111"/>
      <c r="E40" s="42"/>
      <c r="G40" s="43"/>
      <c r="H40" s="43"/>
      <c r="J40" s="23"/>
      <c r="K40" s="65"/>
    </row>
    <row r="41" spans="2:15" ht="18.75" customHeight="1" x14ac:dyDescent="0.35">
      <c r="B41" s="44" t="s">
        <v>42</v>
      </c>
      <c r="C41" s="111">
        <f>SUM(D39:D39)/$C$4</f>
        <v>0</v>
      </c>
      <c r="D41" s="111"/>
      <c r="E41" s="42"/>
      <c r="G41" s="43"/>
      <c r="H41" s="43"/>
      <c r="J41" s="23"/>
      <c r="K41" s="65"/>
    </row>
    <row r="42" spans="2:15" ht="18.75" customHeight="1" x14ac:dyDescent="0.35">
      <c r="B42" s="45"/>
      <c r="C42" s="45"/>
      <c r="D42" s="45"/>
      <c r="E42" s="45"/>
      <c r="F42" s="45"/>
      <c r="G42" s="45"/>
      <c r="H42" s="45"/>
      <c r="I42" s="45"/>
      <c r="J42" s="23"/>
      <c r="K42" s="65"/>
    </row>
    <row r="43" spans="2:15" s="2" customFormat="1" ht="18.75" customHeight="1" x14ac:dyDescent="0.45">
      <c r="B43" s="46" t="s">
        <v>50</v>
      </c>
      <c r="C43" s="47"/>
      <c r="D43" s="48"/>
      <c r="E43" s="48"/>
      <c r="F43" s="48"/>
      <c r="G43" s="49"/>
      <c r="H43" s="49"/>
      <c r="I43" s="82"/>
      <c r="J43" s="48"/>
      <c r="K43" s="48"/>
      <c r="L43" s="48"/>
    </row>
    <row r="44" spans="2:15" s="2" customFormat="1" ht="37" x14ac:dyDescent="0.3">
      <c r="B44" s="7" t="s">
        <v>22</v>
      </c>
      <c r="C44" s="25" t="s">
        <v>51</v>
      </c>
      <c r="D44" s="25" t="s">
        <v>52</v>
      </c>
      <c r="F44" s="50" t="s">
        <v>25</v>
      </c>
      <c r="G44" s="51" t="s">
        <v>26</v>
      </c>
      <c r="H44" s="52"/>
      <c r="I44" s="83"/>
      <c r="J44" s="84" t="s">
        <v>53</v>
      </c>
      <c r="K44" s="85" t="s">
        <v>54</v>
      </c>
      <c r="L44" s="84" t="s">
        <v>55</v>
      </c>
      <c r="M44" s="84" t="s">
        <v>56</v>
      </c>
      <c r="N44" s="84" t="s">
        <v>57</v>
      </c>
    </row>
    <row r="45" spans="2:15" s="2" customFormat="1" ht="18.75" customHeight="1" x14ac:dyDescent="0.45">
      <c r="B45" s="28" t="s">
        <v>58</v>
      </c>
      <c r="C45" s="29"/>
      <c r="D45" s="29">
        <f>C45/L45</f>
        <v>0</v>
      </c>
      <c r="F45" s="53"/>
      <c r="G45" s="54">
        <f>L45</f>
        <v>1</v>
      </c>
      <c r="H45" s="52"/>
      <c r="I45" s="86" t="s">
        <v>59</v>
      </c>
      <c r="J45" s="87">
        <v>1</v>
      </c>
      <c r="K45" s="88"/>
      <c r="L45" s="89">
        <v>1</v>
      </c>
      <c r="M45" s="90">
        <f>C45/L45</f>
        <v>0</v>
      </c>
      <c r="N45" s="91"/>
    </row>
    <row r="46" spans="2:15" s="2" customFormat="1" ht="18.75" customHeight="1" x14ac:dyDescent="0.45">
      <c r="B46" s="28" t="s">
        <v>60</v>
      </c>
      <c r="C46" s="29"/>
      <c r="D46" s="29" t="e">
        <f>C46/L46</f>
        <v>#DIV/0!</v>
      </c>
      <c r="F46" s="53"/>
      <c r="G46" s="54" t="e">
        <f>L46</f>
        <v>#DIV/0!</v>
      </c>
      <c r="H46" s="52"/>
      <c r="I46" s="86" t="s">
        <v>59</v>
      </c>
      <c r="J46" s="87" t="e">
        <f>ROUNDUP(C46/$C$48,0)</f>
        <v>#DIV/0!</v>
      </c>
      <c r="K46" s="88">
        <f>5*4</f>
        <v>20</v>
      </c>
      <c r="L46" s="89" t="e">
        <f>IF(J46&gt;10,10,J46)</f>
        <v>#DIV/0!</v>
      </c>
      <c r="M46" s="90" t="e">
        <f>C46/L46</f>
        <v>#DIV/0!</v>
      </c>
      <c r="N46" s="91">
        <v>1</v>
      </c>
    </row>
    <row r="47" spans="2:15" s="2" customFormat="1" ht="18.75" customHeight="1" x14ac:dyDescent="0.45">
      <c r="B47" s="55" t="s">
        <v>61</v>
      </c>
      <c r="C47" s="29"/>
      <c r="D47" s="29">
        <f>C47/L47</f>
        <v>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0</v>
      </c>
      <c r="N47" s="91"/>
    </row>
    <row r="48" spans="2:15" s="2" customFormat="1" ht="18.75" customHeight="1" x14ac:dyDescent="0.45">
      <c r="B48" s="28" t="s">
        <v>62</v>
      </c>
      <c r="C48" s="29"/>
      <c r="D48" s="29">
        <f>C48</f>
        <v>0</v>
      </c>
      <c r="F48" s="53">
        <v>1</v>
      </c>
      <c r="G48" s="54">
        <f t="shared" ref="G48:G49" si="0">L48</f>
        <v>0</v>
      </c>
      <c r="H48" s="52"/>
      <c r="I48" s="86"/>
      <c r="J48" s="87"/>
      <c r="K48" s="88"/>
      <c r="L48" s="89"/>
      <c r="M48" s="90">
        <f>D48</f>
        <v>0</v>
      </c>
      <c r="N48" s="91"/>
    </row>
    <row r="49" spans="2:15" s="2" customFormat="1" ht="18.75" customHeight="1" x14ac:dyDescent="0.45">
      <c r="B49" s="56" t="s">
        <v>63</v>
      </c>
      <c r="C49" s="29"/>
      <c r="D49" s="29">
        <f>C49/G49</f>
        <v>0</v>
      </c>
      <c r="F49" s="53"/>
      <c r="G49" s="54">
        <f t="shared" si="0"/>
        <v>1</v>
      </c>
      <c r="H49" s="52"/>
      <c r="I49" s="86" t="s">
        <v>59</v>
      </c>
      <c r="J49" s="87" t="e">
        <f>ROUNDUP(C49/$C$48,0)</f>
        <v>#DIV/0!</v>
      </c>
      <c r="K49" s="88"/>
      <c r="L49" s="89">
        <v>1</v>
      </c>
      <c r="M49" s="90">
        <f>C49/L49</f>
        <v>0</v>
      </c>
      <c r="N49" s="91"/>
    </row>
    <row r="50" spans="2:15" s="2" customFormat="1" ht="18.75" customHeight="1" x14ac:dyDescent="0.45">
      <c r="B50" s="28" t="s">
        <v>64</v>
      </c>
      <c r="C50" s="29"/>
      <c r="D50" s="29">
        <f t="shared" ref="D50:D53" si="1">C50/G50</f>
        <v>0</v>
      </c>
      <c r="F50" s="53"/>
      <c r="G50" s="54">
        <v>1</v>
      </c>
      <c r="H50" s="52"/>
      <c r="I50" s="86" t="s">
        <v>59</v>
      </c>
      <c r="J50" s="87" t="e">
        <f>ROUNDUP(C50/$C$48,0)</f>
        <v>#DIV/0!</v>
      </c>
      <c r="K50" s="88"/>
      <c r="L50" s="89">
        <v>1</v>
      </c>
      <c r="M50" s="90">
        <f t="shared" ref="M50:M53" si="2">C50/L50</f>
        <v>0</v>
      </c>
      <c r="N50" s="91"/>
    </row>
    <row r="51" spans="2:15" s="2" customFormat="1" ht="18.75" customHeight="1" x14ac:dyDescent="0.45">
      <c r="B51" s="28" t="s">
        <v>65</v>
      </c>
      <c r="C51" s="29"/>
      <c r="D51" s="29">
        <f t="shared" si="1"/>
        <v>0</v>
      </c>
      <c r="F51" s="53"/>
      <c r="G51" s="54">
        <v>1</v>
      </c>
      <c r="H51" s="52"/>
      <c r="I51" s="86" t="s">
        <v>59</v>
      </c>
      <c r="J51" s="87" t="e">
        <f>ROUNDUP(C51/$C$48,0)</f>
        <v>#DIV/0!</v>
      </c>
      <c r="K51" s="88"/>
      <c r="L51" s="89">
        <v>1</v>
      </c>
      <c r="M51" s="90">
        <f t="shared" si="2"/>
        <v>0</v>
      </c>
      <c r="N51" s="91"/>
    </row>
    <row r="52" spans="2:15" s="2" customFormat="1" ht="18.75" customHeight="1" x14ac:dyDescent="0.45">
      <c r="B52" s="28" t="s">
        <v>66</v>
      </c>
      <c r="C52" s="29"/>
      <c r="D52" s="29">
        <f t="shared" si="1"/>
        <v>0</v>
      </c>
      <c r="F52" s="53"/>
      <c r="G52" s="54">
        <v>1</v>
      </c>
      <c r="H52" s="52"/>
      <c r="I52" s="86" t="s">
        <v>59</v>
      </c>
      <c r="J52" s="87" t="e">
        <f>ROUNDUP(C52/$C$48,0)</f>
        <v>#DIV/0!</v>
      </c>
      <c r="K52" s="88"/>
      <c r="L52" s="89">
        <v>1</v>
      </c>
      <c r="M52" s="90">
        <f t="shared" si="2"/>
        <v>0</v>
      </c>
      <c r="N52" s="91"/>
    </row>
    <row r="53" spans="2:15" s="2" customFormat="1" ht="18.75" customHeight="1" x14ac:dyDescent="0.45">
      <c r="B53" s="28" t="s">
        <v>67</v>
      </c>
      <c r="C53" s="29"/>
      <c r="D53" s="29">
        <f t="shared" si="1"/>
        <v>0</v>
      </c>
      <c r="F53" s="53"/>
      <c r="G53" s="54">
        <v>2</v>
      </c>
      <c r="H53" s="52"/>
      <c r="I53" s="86" t="s">
        <v>59</v>
      </c>
      <c r="J53" s="87" t="e">
        <f>ROUNDUP(C53/$C$48,0)</f>
        <v>#DIV/0!</v>
      </c>
      <c r="K53" s="88"/>
      <c r="L53" s="89">
        <v>4</v>
      </c>
      <c r="M53" s="90">
        <f t="shared" si="2"/>
        <v>0</v>
      </c>
      <c r="N53" s="91"/>
    </row>
    <row r="54" spans="2:15" s="2" customFormat="1" ht="18.75" customHeight="1" x14ac:dyDescent="0.45">
      <c r="B54" s="41" t="s">
        <v>6</v>
      </c>
      <c r="C54" s="111"/>
      <c r="D54" s="111"/>
      <c r="E54" s="57"/>
      <c r="F54" s="2">
        <f>SUM(F45:F53)</f>
        <v>1</v>
      </c>
      <c r="G54" s="2" t="e">
        <f>SUM(G45:G53)</f>
        <v>#DIV/0!</v>
      </c>
      <c r="H54" s="52"/>
      <c r="I54" s="86" t="s">
        <v>68</v>
      </c>
      <c r="J54" s="87" t="e">
        <f>SUM(J45:J53)</f>
        <v>#DIV/0!</v>
      </c>
      <c r="K54" s="88"/>
      <c r="L54" s="92" t="e">
        <f>SUM(L45:L53)</f>
        <v>#DIV/0!</v>
      </c>
      <c r="M54" s="93" t="e">
        <f>MAX(M45:M53)*L54</f>
        <v>#DIV/0!</v>
      </c>
      <c r="N54" s="89"/>
    </row>
    <row r="55" spans="2:15" s="2" customFormat="1" ht="18.75" customHeight="1" x14ac:dyDescent="0.45">
      <c r="B55" s="58" t="s">
        <v>42</v>
      </c>
      <c r="C55" s="111"/>
      <c r="D55" s="111"/>
      <c r="E55" s="59"/>
      <c r="F55" s="60"/>
      <c r="G55" s="61"/>
      <c r="H55" s="61"/>
      <c r="I55" s="94"/>
      <c r="J55" s="60"/>
      <c r="K55" s="60"/>
      <c r="L55" s="60"/>
    </row>
    <row r="57" spans="2:15" ht="18.75" customHeight="1" x14ac:dyDescent="0.35">
      <c r="B57" s="22" t="s">
        <v>69</v>
      </c>
      <c r="C57" s="19"/>
      <c r="D57" s="19"/>
      <c r="E57" s="19"/>
      <c r="F57" s="23"/>
      <c r="G57" s="24"/>
      <c r="H57" s="24"/>
      <c r="I57" s="23"/>
      <c r="J57" s="23"/>
      <c r="K57" s="65"/>
    </row>
    <row r="58" spans="2:15" ht="31" x14ac:dyDescent="0.3">
      <c r="B58" s="7" t="s">
        <v>22</v>
      </c>
      <c r="C58" s="25" t="s">
        <v>48</v>
      </c>
      <c r="D58" s="25" t="s">
        <v>49</v>
      </c>
      <c r="F58" s="26" t="s">
        <v>25</v>
      </c>
      <c r="G58" s="27" t="s">
        <v>26</v>
      </c>
      <c r="I58" s="79"/>
      <c r="J58" s="79"/>
      <c r="K58" s="80"/>
      <c r="L58" s="79"/>
      <c r="M58" s="79"/>
    </row>
    <row r="59" spans="2:15" ht="18.75" customHeight="1" x14ac:dyDescent="0.35">
      <c r="B59" s="28" t="s">
        <v>69</v>
      </c>
      <c r="C59" s="29">
        <v>0</v>
      </c>
      <c r="D59" s="30">
        <f>C59*F59</f>
        <v>0</v>
      </c>
      <c r="F59" s="31">
        <v>1</v>
      </c>
      <c r="G59" s="32">
        <v>1</v>
      </c>
      <c r="I59" s="34"/>
      <c r="J59" s="23"/>
      <c r="K59" s="69"/>
      <c r="L59" s="23"/>
      <c r="M59" s="65"/>
      <c r="O59" s="81"/>
    </row>
    <row r="60" spans="2:15" ht="18.75" customHeight="1" x14ac:dyDescent="0.35">
      <c r="B60" s="41" t="s">
        <v>8</v>
      </c>
      <c r="C60" s="111">
        <f>SUM(C59:C59)*G59/$C$4</f>
        <v>0</v>
      </c>
      <c r="D60" s="111"/>
      <c r="E60" s="42"/>
      <c r="G60" s="43"/>
      <c r="H60" s="43"/>
      <c r="J60" s="23"/>
      <c r="K60" s="65"/>
    </row>
    <row r="61" spans="2:15" ht="18.75" customHeight="1" x14ac:dyDescent="0.35">
      <c r="B61" s="44" t="s">
        <v>42</v>
      </c>
      <c r="C61" s="111">
        <f>SUM(D59:D59)/$C$4</f>
        <v>0</v>
      </c>
      <c r="D61" s="111"/>
      <c r="E61" s="42"/>
      <c r="G61" s="43"/>
      <c r="H61" s="43"/>
      <c r="J61" s="23"/>
      <c r="K61" s="65"/>
    </row>
    <row r="62" spans="2:15" ht="18.75" customHeight="1" x14ac:dyDescent="0.35">
      <c r="B62" s="45"/>
      <c r="C62" s="45"/>
      <c r="D62" s="45"/>
      <c r="E62" s="45"/>
      <c r="F62" s="45"/>
      <c r="G62" s="45"/>
      <c r="H62" s="45"/>
      <c r="I62" s="45"/>
      <c r="J62" s="23"/>
      <c r="K62" s="65"/>
    </row>
    <row r="63" spans="2:15" ht="18.75" customHeight="1" x14ac:dyDescent="0.4">
      <c r="B63" s="62" t="s">
        <v>70</v>
      </c>
      <c r="C63" s="19"/>
      <c r="D63" s="19"/>
      <c r="E63" s="19"/>
      <c r="F63" s="23"/>
      <c r="G63" s="24"/>
      <c r="H63" s="24"/>
      <c r="I63" s="23"/>
      <c r="J63" s="23"/>
      <c r="K63" s="65"/>
    </row>
    <row r="64" spans="2:15" ht="31" x14ac:dyDescent="0.3">
      <c r="B64" s="7" t="s">
        <v>22</v>
      </c>
      <c r="C64" s="25" t="s">
        <v>48</v>
      </c>
      <c r="D64" s="25" t="s">
        <v>49</v>
      </c>
      <c r="F64" s="26" t="s">
        <v>25</v>
      </c>
      <c r="G64" s="27" t="s">
        <v>26</v>
      </c>
      <c r="I64" s="79"/>
      <c r="J64" s="79"/>
      <c r="K64" s="80"/>
      <c r="L64" s="79"/>
      <c r="M64" s="79"/>
    </row>
    <row r="65" spans="2:15" ht="18.75" customHeight="1" x14ac:dyDescent="0.35">
      <c r="B65" s="55" t="s">
        <v>70</v>
      </c>
      <c r="C65" s="29">
        <f>30+15*3</f>
        <v>75</v>
      </c>
      <c r="D65" s="30">
        <f>C65*F65</f>
        <v>0</v>
      </c>
      <c r="F65" s="31"/>
      <c r="G65" s="32">
        <v>1</v>
      </c>
      <c r="I65" s="34"/>
      <c r="J65" s="23"/>
      <c r="K65" s="69"/>
      <c r="L65" s="23"/>
      <c r="M65" s="65"/>
      <c r="O65" s="81"/>
    </row>
    <row r="66" spans="2:15" ht="18.75" customHeight="1" x14ac:dyDescent="0.35">
      <c r="B66" s="41" t="s">
        <v>9</v>
      </c>
      <c r="C66" s="111">
        <f>SUM(C65:C65)*G65</f>
        <v>75</v>
      </c>
      <c r="D66" s="111"/>
      <c r="E66" s="42"/>
      <c r="G66" s="43"/>
      <c r="H66" s="43"/>
      <c r="J66" s="23"/>
      <c r="K66" s="65"/>
    </row>
    <row r="67" spans="2:15" ht="18.75" customHeight="1" x14ac:dyDescent="0.35">
      <c r="B67" s="44" t="s">
        <v>42</v>
      </c>
      <c r="C67" s="111">
        <f>SUM(D65:D65)/$C$4</f>
        <v>0</v>
      </c>
      <c r="D67" s="111"/>
      <c r="E67" s="42"/>
      <c r="G67" s="43"/>
      <c r="H67" s="43"/>
      <c r="J67" s="23"/>
      <c r="K67" s="65"/>
    </row>
    <row r="68" spans="2:15" ht="18.75" customHeight="1" x14ac:dyDescent="0.35">
      <c r="B68" s="45"/>
      <c r="C68" s="45"/>
      <c r="D68" s="45"/>
      <c r="E68" s="45"/>
      <c r="F68" s="45"/>
      <c r="G68" s="45"/>
      <c r="H68" s="45"/>
      <c r="I68" s="45"/>
      <c r="J68" s="23"/>
      <c r="K68" s="65"/>
    </row>
    <row r="69" spans="2:15" x14ac:dyDescent="0.35">
      <c r="B69" s="95" t="s">
        <v>71</v>
      </c>
      <c r="C69" s="96"/>
      <c r="D69" s="96"/>
      <c r="E69" s="96"/>
      <c r="F69" s="97"/>
      <c r="G69" s="98"/>
      <c r="H69" s="99"/>
      <c r="I69" s="99"/>
      <c r="J69" s="99"/>
      <c r="K69" s="99"/>
      <c r="L69" s="99"/>
      <c r="M69" s="99"/>
      <c r="N69" s="99"/>
    </row>
    <row r="70" spans="2:15" ht="31" x14ac:dyDescent="0.35">
      <c r="B70" s="7" t="s">
        <v>22</v>
      </c>
      <c r="C70" s="25" t="s">
        <v>48</v>
      </c>
      <c r="D70" s="25" t="s">
        <v>49</v>
      </c>
      <c r="E70" s="100"/>
      <c r="F70" s="26" t="s">
        <v>25</v>
      </c>
      <c r="G70" s="27" t="s">
        <v>26</v>
      </c>
      <c r="H70" s="99"/>
      <c r="I70" s="99"/>
      <c r="J70" s="99"/>
      <c r="K70" s="99"/>
      <c r="L70" s="99"/>
      <c r="M70" s="99"/>
      <c r="N70" s="99"/>
    </row>
    <row r="71" spans="2:15" ht="20.25" customHeight="1" x14ac:dyDescent="0.35">
      <c r="B71" s="101" t="s">
        <v>2</v>
      </c>
      <c r="C71" s="102">
        <v>40</v>
      </c>
      <c r="D71" s="103">
        <f>C71*F71</f>
        <v>40</v>
      </c>
      <c r="E71" s="100"/>
      <c r="F71" s="104">
        <v>1</v>
      </c>
      <c r="G71" s="105">
        <v>1</v>
      </c>
      <c r="H71" s="99"/>
      <c r="I71" s="99"/>
      <c r="J71" s="99"/>
      <c r="K71" s="99"/>
      <c r="L71" s="99"/>
      <c r="M71" s="99"/>
      <c r="N71" s="99"/>
    </row>
    <row r="72" spans="2:15" ht="20.25" customHeight="1" x14ac:dyDescent="0.35">
      <c r="B72" s="106" t="s">
        <v>72</v>
      </c>
      <c r="C72" s="102">
        <v>60</v>
      </c>
      <c r="D72" s="103"/>
      <c r="E72" s="100"/>
      <c r="F72" s="104"/>
      <c r="G72" s="105">
        <v>1</v>
      </c>
      <c r="H72" s="99"/>
      <c r="I72" s="99"/>
      <c r="J72" s="99"/>
      <c r="K72" s="99"/>
      <c r="L72" s="99"/>
      <c r="M72" s="99"/>
      <c r="N72" s="99"/>
    </row>
    <row r="73" spans="2:15" ht="20.25" customHeight="1" x14ac:dyDescent="0.35">
      <c r="B73" s="106" t="s">
        <v>11</v>
      </c>
      <c r="C73" s="102"/>
      <c r="D73" s="103"/>
      <c r="E73" s="100"/>
      <c r="F73" s="104"/>
      <c r="G73" s="105"/>
      <c r="H73" s="99"/>
      <c r="I73" s="99"/>
      <c r="J73" s="99"/>
      <c r="K73" s="99"/>
      <c r="L73" s="99"/>
      <c r="M73" s="99"/>
      <c r="N73" s="99"/>
    </row>
    <row r="74" spans="2:15" ht="20.25" customHeight="1" x14ac:dyDescent="0.35">
      <c r="B74" s="106" t="s">
        <v>73</v>
      </c>
      <c r="C74" s="102">
        <f>D74*G74/F74</f>
        <v>30</v>
      </c>
      <c r="D74" s="102">
        <v>15</v>
      </c>
      <c r="E74" s="100"/>
      <c r="F74" s="104">
        <v>1</v>
      </c>
      <c r="G74" s="105">
        <v>2</v>
      </c>
      <c r="H74" s="99"/>
      <c r="I74" s="99"/>
      <c r="J74" s="99"/>
      <c r="K74" s="99"/>
      <c r="L74" s="99"/>
      <c r="M74" s="99"/>
      <c r="N74" s="99"/>
    </row>
    <row r="75" spans="2:15" ht="20.25" customHeight="1" x14ac:dyDescent="0.35">
      <c r="B75" s="106" t="s">
        <v>74</v>
      </c>
      <c r="C75" s="102">
        <f>D74*G75/F74</f>
        <v>0</v>
      </c>
      <c r="D75" s="103"/>
      <c r="E75" s="100"/>
      <c r="F75" s="104"/>
      <c r="G75" s="105"/>
      <c r="H75" s="99"/>
      <c r="I75" s="99"/>
      <c r="J75" s="99"/>
      <c r="K75" s="99"/>
      <c r="L75" s="99"/>
      <c r="M75" s="99"/>
      <c r="N75" s="99"/>
    </row>
    <row r="76" spans="2:15" ht="20.25" customHeight="1" x14ac:dyDescent="0.35">
      <c r="B76" s="106" t="s">
        <v>75</v>
      </c>
      <c r="C76" s="102">
        <f>D74*G76/F74</f>
        <v>0</v>
      </c>
      <c r="D76" s="103"/>
      <c r="E76" s="100"/>
      <c r="F76" s="104"/>
      <c r="G76" s="105"/>
      <c r="H76" s="99"/>
      <c r="I76" s="99"/>
      <c r="J76" s="99"/>
      <c r="K76" s="99"/>
      <c r="L76" s="99"/>
      <c r="M76" s="99"/>
      <c r="N76" s="99"/>
    </row>
    <row r="77" spans="2:15" ht="20.25" customHeight="1" x14ac:dyDescent="0.35">
      <c r="B77" s="41" t="s">
        <v>10</v>
      </c>
      <c r="C77" s="112">
        <f>SUM(C71:C76)</f>
        <v>130</v>
      </c>
      <c r="D77" s="113"/>
      <c r="E77" s="107"/>
      <c r="F77" s="100"/>
      <c r="G77" s="108"/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109" t="s">
        <v>42</v>
      </c>
      <c r="C78" s="112">
        <f>SUM(D71:D76)</f>
        <v>55</v>
      </c>
      <c r="D78" s="113"/>
      <c r="E78" s="107"/>
      <c r="F78" s="100"/>
      <c r="G78" s="108"/>
      <c r="H78" s="99"/>
      <c r="I78" s="99"/>
      <c r="J78" s="99"/>
      <c r="K78" s="99"/>
      <c r="L78" s="99"/>
      <c r="M78" s="99"/>
      <c r="N78" s="99"/>
    </row>
  </sheetData>
  <mergeCells count="22">
    <mergeCell ref="C41:D41"/>
    <mergeCell ref="B1:F1"/>
    <mergeCell ref="C2:F2"/>
    <mergeCell ref="C19:D19"/>
    <mergeCell ref="C20:D20"/>
    <mergeCell ref="C21:D21"/>
    <mergeCell ref="C67:D67"/>
    <mergeCell ref="C77:D77"/>
    <mergeCell ref="C78:D78"/>
    <mergeCell ref="B3:B4"/>
    <mergeCell ref="C4:C5"/>
    <mergeCell ref="D4:D5"/>
    <mergeCell ref="B8:G9"/>
    <mergeCell ref="C54:D54"/>
    <mergeCell ref="C55:D55"/>
    <mergeCell ref="C60:D60"/>
    <mergeCell ref="C61:D61"/>
    <mergeCell ref="C66:D66"/>
    <mergeCell ref="C33:D33"/>
    <mergeCell ref="C34:D34"/>
    <mergeCell ref="C35:D35"/>
    <mergeCell ref="C40:D40"/>
  </mergeCells>
  <phoneticPr fontId="31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tabColor rgb="FFFFFF00"/>
  </sheetPr>
  <dimension ref="B1:O78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hidden="1" customWidth="1" outlineLevel="1"/>
    <col min="10" max="11" width="10.5" style="3" hidden="1" customWidth="1" outlineLevel="1"/>
    <col min="12" max="12" width="15.33203125" style="3" hidden="1" customWidth="1" outlineLevel="1"/>
    <col min="13" max="13" width="12.58203125" style="3" hidden="1" customWidth="1" outlineLevel="1"/>
    <col min="14" max="14" width="15.58203125" style="3" customWidth="1" collapsed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x14ac:dyDescent="0.35">
      <c r="B2" s="7" t="s">
        <v>13</v>
      </c>
      <c r="C2" s="124" t="s">
        <v>80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8</v>
      </c>
      <c r="D4" s="118">
        <v>0.26</v>
      </c>
      <c r="E4" s="12">
        <f>K15</f>
        <v>8</v>
      </c>
      <c r="F4" s="12"/>
      <c r="L4" s="6"/>
      <c r="M4" s="8"/>
    </row>
    <row r="5" spans="2:14" ht="18.75" customHeight="1" x14ac:dyDescent="0.35">
      <c r="B5" s="11"/>
      <c r="C5" s="117"/>
      <c r="D5" s="118"/>
      <c r="E5" s="12">
        <f>K28</f>
        <v>8</v>
      </c>
      <c r="F5" s="12"/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C20+C34+C54+C77+C40+C60+C66</f>
        <v>115</v>
      </c>
      <c r="D6" s="15">
        <f>(C6-F6)/0.8</f>
        <v>118.75</v>
      </c>
      <c r="E6" s="16" t="s">
        <v>20</v>
      </c>
      <c r="F6" s="17">
        <f>VLOOKUP(E6,$B$68:$C$82,2,0)</f>
        <v>20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C21+C35+C55+C78+C41+C61+C67</f>
        <v>50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/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30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10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8</v>
      </c>
      <c r="L15" s="73">
        <v>5</v>
      </c>
      <c r="M15" s="74">
        <v>0.64400000000000002</v>
      </c>
    </row>
    <row r="16" spans="2:14" ht="18.75" customHeight="1" x14ac:dyDescent="0.35">
      <c r="B16" s="28" t="s">
        <v>37</v>
      </c>
      <c r="C16" s="29"/>
      <c r="D16" s="30">
        <f>($D$4+0.15)/0.95*60</f>
        <v>25.894736842105299</v>
      </c>
      <c r="F16" s="31">
        <v>1</v>
      </c>
      <c r="G16" s="32"/>
      <c r="I16" s="75"/>
      <c r="J16" s="76"/>
      <c r="K16" s="4"/>
      <c r="L16" s="77"/>
      <c r="M16" s="65"/>
    </row>
    <row r="17" spans="2:13" ht="18.75" customHeight="1" x14ac:dyDescent="0.35">
      <c r="B17" s="28" t="s">
        <v>38</v>
      </c>
      <c r="C17" s="29"/>
      <c r="D17" s="30">
        <v>30</v>
      </c>
      <c r="F17" s="31"/>
      <c r="G17" s="32"/>
      <c r="I17" s="73" t="s">
        <v>39</v>
      </c>
      <c r="J17" s="78">
        <f>SUM(D15:D15)/(MAX(D15:D15)*COUNT(D15:D15))</f>
        <v>1</v>
      </c>
      <c r="K17" s="4"/>
      <c r="L17" s="23"/>
      <c r="M17" s="65"/>
    </row>
    <row r="18" spans="2:13" ht="18.75" customHeight="1" x14ac:dyDescent="0.35">
      <c r="B18" s="28" t="s">
        <v>40</v>
      </c>
      <c r="C18" s="29">
        <v>30</v>
      </c>
      <c r="D18" s="30"/>
      <c r="E18" s="34"/>
      <c r="F18" s="35"/>
      <c r="G18" s="36">
        <v>1</v>
      </c>
      <c r="H18" s="18"/>
      <c r="I18" s="23"/>
      <c r="J18" s="23"/>
      <c r="K18" s="65"/>
    </row>
    <row r="19" spans="2:13" ht="18.75" customHeight="1" x14ac:dyDescent="0.35">
      <c r="B19" s="37" t="s">
        <v>41</v>
      </c>
      <c r="C19" s="120">
        <f>MAX(D12:D18)</f>
        <v>30</v>
      </c>
      <c r="D19" s="120"/>
      <c r="E19" s="38"/>
      <c r="F19" s="31">
        <f>SUM(F12:F18)</f>
        <v>3</v>
      </c>
      <c r="G19" s="39">
        <f>SUM(G12:G18)</f>
        <v>4</v>
      </c>
      <c r="H19" s="40"/>
      <c r="I19" s="23"/>
      <c r="J19" s="23"/>
      <c r="K19" s="65"/>
    </row>
    <row r="20" spans="2:13" ht="18.75" customHeight="1" x14ac:dyDescent="0.35">
      <c r="B20" s="41" t="s">
        <v>4</v>
      </c>
      <c r="C20" s="111">
        <f>C19*G19/$C$4</f>
        <v>15</v>
      </c>
      <c r="D20" s="111"/>
      <c r="E20" s="42"/>
      <c r="G20" s="3"/>
      <c r="H20" s="43"/>
      <c r="J20" s="23"/>
      <c r="K20" s="65"/>
    </row>
    <row r="21" spans="2:13" ht="18.75" customHeight="1" x14ac:dyDescent="0.35">
      <c r="B21" s="44" t="s">
        <v>42</v>
      </c>
      <c r="C21" s="111">
        <f>C19*F19/$C$4</f>
        <v>11.25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5"/>
      <c r="C22" s="45"/>
      <c r="D22" s="45"/>
      <c r="E22" s="45"/>
      <c r="F22" s="45"/>
      <c r="G22" s="45"/>
      <c r="H22" s="45"/>
      <c r="I22" s="45"/>
      <c r="J22" s="23"/>
      <c r="K22" s="65"/>
    </row>
    <row r="23" spans="2:13" ht="18.75" customHeight="1" x14ac:dyDescent="0.35">
      <c r="B23" s="22" t="s">
        <v>43</v>
      </c>
      <c r="C23" s="19"/>
      <c r="D23" s="19"/>
      <c r="E23" s="19"/>
      <c r="F23" s="23"/>
      <c r="G23" s="24"/>
      <c r="H23" s="24"/>
      <c r="I23" s="23"/>
      <c r="J23" s="23"/>
      <c r="K23" s="65"/>
    </row>
    <row r="24" spans="2:13" ht="31" x14ac:dyDescent="0.3">
      <c r="B24" s="7" t="s">
        <v>22</v>
      </c>
      <c r="C24" s="25" t="s">
        <v>23</v>
      </c>
      <c r="D24" s="25" t="s">
        <v>24</v>
      </c>
      <c r="F24" s="26" t="s">
        <v>25</v>
      </c>
      <c r="G24" s="27" t="s">
        <v>26</v>
      </c>
      <c r="I24" s="66" t="s">
        <v>27</v>
      </c>
      <c r="J24" s="67" t="s">
        <v>28</v>
      </c>
      <c r="K24" s="68" t="s">
        <v>29</v>
      </c>
      <c r="L24" s="66" t="s">
        <v>30</v>
      </c>
      <c r="M24" s="66" t="s">
        <v>31</v>
      </c>
    </row>
    <row r="25" spans="2:13" ht="18.75" customHeight="1" x14ac:dyDescent="0.35">
      <c r="B25" s="28" t="s">
        <v>32</v>
      </c>
      <c r="C25" s="29">
        <v>30</v>
      </c>
      <c r="D25" s="30"/>
      <c r="F25" s="31"/>
      <c r="G25" s="32">
        <v>1</v>
      </c>
      <c r="I25" s="34"/>
      <c r="J25" s="23"/>
      <c r="K25" s="69"/>
      <c r="L25" s="23"/>
      <c r="M25" s="65"/>
    </row>
    <row r="26" spans="2:13" ht="18.75" customHeight="1" x14ac:dyDescent="0.35">
      <c r="B26" s="28" t="s">
        <v>33</v>
      </c>
      <c r="C26" s="29"/>
      <c r="D26" s="33">
        <v>30</v>
      </c>
      <c r="F26" s="31">
        <v>1</v>
      </c>
      <c r="G26" s="32"/>
      <c r="I26" s="34"/>
      <c r="J26" s="23"/>
      <c r="K26" s="69"/>
      <c r="L26" s="23"/>
      <c r="M26" s="65"/>
    </row>
    <row r="27" spans="2:13" ht="18.75" customHeight="1" x14ac:dyDescent="0.35">
      <c r="B27" s="28" t="s">
        <v>34</v>
      </c>
      <c r="C27" s="29"/>
      <c r="D27" s="30">
        <v>30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44</v>
      </c>
      <c r="C28" s="29"/>
      <c r="D28" s="30">
        <v>10</v>
      </c>
      <c r="F28" s="31">
        <v>1</v>
      </c>
      <c r="G28" s="32">
        <v>1</v>
      </c>
      <c r="I28" s="70">
        <v>0.63</v>
      </c>
      <c r="J28" s="71">
        <f>3600/I28/150000</f>
        <v>3.8095238095238099E-2</v>
      </c>
      <c r="K28" s="72">
        <v>8</v>
      </c>
      <c r="L28" s="73">
        <v>5</v>
      </c>
      <c r="M28" s="74">
        <v>0.64400000000000002</v>
      </c>
    </row>
    <row r="29" spans="2:13" ht="18.75" customHeight="1" x14ac:dyDescent="0.35">
      <c r="B29" s="28" t="s">
        <v>37</v>
      </c>
      <c r="C29" s="29"/>
      <c r="D29" s="30">
        <f>($D$4+0.15)/0.95*60</f>
        <v>25.894736842105299</v>
      </c>
      <c r="F29" s="31">
        <v>1</v>
      </c>
      <c r="G29" s="32"/>
      <c r="I29" s="75"/>
      <c r="J29" s="76"/>
      <c r="K29" s="4"/>
      <c r="L29" s="77"/>
      <c r="M29" s="65"/>
    </row>
    <row r="30" spans="2:13" ht="18.75" customHeight="1" x14ac:dyDescent="0.35">
      <c r="B30" s="28" t="s">
        <v>38</v>
      </c>
      <c r="C30" s="29"/>
      <c r="D30" s="30">
        <v>30</v>
      </c>
      <c r="F30" s="31">
        <v>1</v>
      </c>
      <c r="G30" s="32"/>
      <c r="I30" s="73" t="s">
        <v>39</v>
      </c>
      <c r="J30" s="78">
        <f>SUM(D28:D28)/(MAX(D28:D28)*COUNT(D28:D28))</f>
        <v>1</v>
      </c>
      <c r="K30" s="4"/>
      <c r="L30" s="23"/>
      <c r="M30" s="65"/>
    </row>
    <row r="31" spans="2:13" ht="18.75" customHeight="1" x14ac:dyDescent="0.35">
      <c r="B31" s="28" t="s">
        <v>46</v>
      </c>
      <c r="C31" s="29">
        <v>30</v>
      </c>
      <c r="D31" s="30"/>
      <c r="E31" s="34"/>
      <c r="F31" s="35"/>
      <c r="G31" s="36">
        <v>1</v>
      </c>
      <c r="H31" s="18"/>
      <c r="I31" s="23"/>
      <c r="J31" s="23"/>
      <c r="K31" s="65"/>
    </row>
    <row r="32" spans="2:13" ht="18.75" customHeight="1" x14ac:dyDescent="0.35">
      <c r="B32" s="28" t="s">
        <v>40</v>
      </c>
      <c r="C32" s="29">
        <v>30</v>
      </c>
      <c r="D32" s="30"/>
      <c r="E32" s="34"/>
      <c r="F32" s="35"/>
      <c r="G32" s="36">
        <v>1</v>
      </c>
      <c r="H32" s="18"/>
      <c r="I32" s="23"/>
      <c r="J32" s="23"/>
      <c r="K32" s="65"/>
    </row>
    <row r="33" spans="2:15" ht="18.75" customHeight="1" x14ac:dyDescent="0.35">
      <c r="B33" s="37" t="s">
        <v>41</v>
      </c>
      <c r="C33" s="120">
        <f>MAX(D25:D32)</f>
        <v>30</v>
      </c>
      <c r="D33" s="120"/>
      <c r="E33" s="38"/>
      <c r="F33" s="31">
        <f>SUM(F25:F32)</f>
        <v>5</v>
      </c>
      <c r="G33" s="39">
        <f>SUM(G25:G32)</f>
        <v>4</v>
      </c>
      <c r="H33" s="40"/>
      <c r="I33" s="23"/>
      <c r="J33" s="23"/>
      <c r="K33" s="65"/>
    </row>
    <row r="34" spans="2:15" ht="18.75" customHeight="1" x14ac:dyDescent="0.35">
      <c r="B34" s="41" t="s">
        <v>5</v>
      </c>
      <c r="C34" s="111">
        <f>C33*G33/$C$4</f>
        <v>15</v>
      </c>
      <c r="D34" s="111"/>
      <c r="E34" s="42"/>
      <c r="G34" s="3"/>
      <c r="H34" s="43"/>
      <c r="J34" s="23"/>
      <c r="K34" s="65"/>
    </row>
    <row r="35" spans="2:15" ht="18.75" customHeight="1" x14ac:dyDescent="0.35">
      <c r="B35" s="41" t="s">
        <v>42</v>
      </c>
      <c r="C35" s="111">
        <f>C33*F33/$C$4</f>
        <v>18.75</v>
      </c>
      <c r="D35" s="111"/>
      <c r="E35" s="42"/>
      <c r="G35" s="3"/>
      <c r="H35" s="43"/>
      <c r="J35" s="23"/>
      <c r="K35" s="65"/>
    </row>
    <row r="36" spans="2:15" ht="18.75" customHeight="1" x14ac:dyDescent="0.35">
      <c r="B36" s="45"/>
      <c r="C36" s="45"/>
      <c r="D36" s="45"/>
      <c r="E36" s="45"/>
      <c r="F36" s="45"/>
      <c r="G36" s="45"/>
      <c r="H36" s="45"/>
      <c r="I36" s="45"/>
      <c r="J36" s="23"/>
      <c r="K36" s="65"/>
    </row>
    <row r="37" spans="2:15" ht="18.75" customHeight="1" x14ac:dyDescent="0.35">
      <c r="B37" s="22" t="s">
        <v>47</v>
      </c>
      <c r="C37" s="19"/>
      <c r="D37" s="19"/>
      <c r="E37" s="19"/>
      <c r="F37" s="23"/>
      <c r="G37" s="24"/>
      <c r="H37" s="24"/>
      <c r="I37" s="23"/>
      <c r="J37" s="23"/>
      <c r="K37" s="65"/>
    </row>
    <row r="38" spans="2:15" ht="31" x14ac:dyDescent="0.3">
      <c r="B38" s="7" t="s">
        <v>22</v>
      </c>
      <c r="C38" s="25" t="s">
        <v>48</v>
      </c>
      <c r="D38" s="25" t="s">
        <v>49</v>
      </c>
      <c r="F38" s="26" t="s">
        <v>25</v>
      </c>
      <c r="G38" s="27" t="s">
        <v>26</v>
      </c>
      <c r="I38" s="79"/>
      <c r="J38" s="79"/>
      <c r="K38" s="80"/>
      <c r="L38" s="79"/>
      <c r="M38" s="79"/>
    </row>
    <row r="39" spans="2:15" ht="18.75" customHeight="1" x14ac:dyDescent="0.35">
      <c r="B39" s="28" t="s">
        <v>47</v>
      </c>
      <c r="C39" s="29">
        <v>160</v>
      </c>
      <c r="D39" s="30">
        <f>C39*F39/G39</f>
        <v>0</v>
      </c>
      <c r="F39" s="31"/>
      <c r="G39" s="32">
        <v>1</v>
      </c>
      <c r="I39" s="34"/>
      <c r="J39" s="23"/>
      <c r="K39" s="69"/>
      <c r="L39" s="23"/>
      <c r="M39" s="65"/>
      <c r="O39" s="81"/>
    </row>
    <row r="40" spans="2:15" ht="18.75" customHeight="1" x14ac:dyDescent="0.35">
      <c r="B40" s="41" t="s">
        <v>7</v>
      </c>
      <c r="C40" s="111">
        <f>SUM(C39:C39)/$C$4</f>
        <v>20</v>
      </c>
      <c r="D40" s="111"/>
      <c r="E40" s="42"/>
      <c r="G40" s="43"/>
      <c r="H40" s="43"/>
      <c r="J40" s="23"/>
      <c r="K40" s="65"/>
    </row>
    <row r="41" spans="2:15" ht="18.75" customHeight="1" x14ac:dyDescent="0.35">
      <c r="B41" s="44" t="s">
        <v>42</v>
      </c>
      <c r="C41" s="111">
        <f>SUM(D39:D39)/$C$4</f>
        <v>0</v>
      </c>
      <c r="D41" s="111"/>
      <c r="E41" s="42"/>
      <c r="G41" s="43"/>
      <c r="H41" s="43"/>
      <c r="J41" s="23"/>
      <c r="K41" s="65"/>
    </row>
    <row r="42" spans="2:15" ht="18.75" customHeight="1" x14ac:dyDescent="0.35">
      <c r="B42" s="45"/>
      <c r="C42" s="45"/>
      <c r="D42" s="45"/>
      <c r="E42" s="45"/>
      <c r="F42" s="45"/>
      <c r="G42" s="45"/>
      <c r="H42" s="45"/>
      <c r="I42" s="45"/>
      <c r="J42" s="23"/>
      <c r="K42" s="65"/>
    </row>
    <row r="43" spans="2:15" s="2" customFormat="1" ht="18.75" customHeight="1" x14ac:dyDescent="0.45">
      <c r="B43" s="46" t="s">
        <v>50</v>
      </c>
      <c r="C43" s="47"/>
      <c r="D43" s="48"/>
      <c r="E43" s="48"/>
      <c r="F43" s="48"/>
      <c r="G43" s="49"/>
      <c r="H43" s="49"/>
      <c r="I43" s="82"/>
      <c r="J43" s="48"/>
      <c r="K43" s="48"/>
      <c r="L43" s="48"/>
    </row>
    <row r="44" spans="2:15" s="2" customFormat="1" ht="37" x14ac:dyDescent="0.3">
      <c r="B44" s="7" t="s">
        <v>22</v>
      </c>
      <c r="C44" s="25" t="s">
        <v>51</v>
      </c>
      <c r="D44" s="25" t="s">
        <v>52</v>
      </c>
      <c r="F44" s="50" t="s">
        <v>25</v>
      </c>
      <c r="G44" s="51" t="s">
        <v>26</v>
      </c>
      <c r="H44" s="52"/>
      <c r="I44" s="83"/>
      <c r="J44" s="84" t="s">
        <v>53</v>
      </c>
      <c r="K44" s="85" t="s">
        <v>54</v>
      </c>
      <c r="L44" s="84" t="s">
        <v>55</v>
      </c>
      <c r="M44" s="84" t="s">
        <v>56</v>
      </c>
      <c r="N44" s="84" t="s">
        <v>57</v>
      </c>
    </row>
    <row r="45" spans="2:15" s="2" customFormat="1" ht="18.75" customHeight="1" x14ac:dyDescent="0.45">
      <c r="B45" s="28" t="s">
        <v>58</v>
      </c>
      <c r="C45" s="29"/>
      <c r="D45" s="29">
        <f>C45/L45</f>
        <v>0</v>
      </c>
      <c r="F45" s="53"/>
      <c r="G45" s="54">
        <f>L45</f>
        <v>1</v>
      </c>
      <c r="H45" s="52"/>
      <c r="I45" s="86" t="s">
        <v>59</v>
      </c>
      <c r="J45" s="87">
        <v>1</v>
      </c>
      <c r="K45" s="88"/>
      <c r="L45" s="89">
        <v>1</v>
      </c>
      <c r="M45" s="90">
        <f>C45/L45</f>
        <v>0</v>
      </c>
      <c r="N45" s="91"/>
    </row>
    <row r="46" spans="2:15" s="2" customFormat="1" ht="18.75" customHeight="1" x14ac:dyDescent="0.45">
      <c r="B46" s="28" t="s">
        <v>60</v>
      </c>
      <c r="C46" s="29"/>
      <c r="D46" s="29" t="e">
        <f>C46/L46</f>
        <v>#DIV/0!</v>
      </c>
      <c r="F46" s="53"/>
      <c r="G46" s="54" t="e">
        <f>L46</f>
        <v>#DIV/0!</v>
      </c>
      <c r="H46" s="52"/>
      <c r="I46" s="86" t="s">
        <v>59</v>
      </c>
      <c r="J46" s="87" t="e">
        <f>ROUNDUP(C46/$C$48,0)</f>
        <v>#DIV/0!</v>
      </c>
      <c r="K46" s="88">
        <f>5*4</f>
        <v>20</v>
      </c>
      <c r="L46" s="89" t="e">
        <f>IF(J46&gt;10,10,J46)</f>
        <v>#DIV/0!</v>
      </c>
      <c r="M46" s="90" t="e">
        <f>C46/L46</f>
        <v>#DIV/0!</v>
      </c>
      <c r="N46" s="91">
        <v>1</v>
      </c>
    </row>
    <row r="47" spans="2:15" s="2" customFormat="1" ht="18.75" customHeight="1" x14ac:dyDescent="0.45">
      <c r="B47" s="55" t="s">
        <v>61</v>
      </c>
      <c r="C47" s="29"/>
      <c r="D47" s="29">
        <f>C47/L47</f>
        <v>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0</v>
      </c>
      <c r="N47" s="91"/>
    </row>
    <row r="48" spans="2:15" s="2" customFormat="1" ht="18.75" customHeight="1" x14ac:dyDescent="0.45">
      <c r="B48" s="28" t="s">
        <v>62</v>
      </c>
      <c r="C48" s="29"/>
      <c r="D48" s="29">
        <f>C48</f>
        <v>0</v>
      </c>
      <c r="F48" s="53">
        <v>1</v>
      </c>
      <c r="G48" s="54">
        <f t="shared" ref="G48:G49" si="0">L48</f>
        <v>0</v>
      </c>
      <c r="H48" s="52"/>
      <c r="I48" s="86"/>
      <c r="J48" s="87"/>
      <c r="K48" s="88"/>
      <c r="L48" s="89"/>
      <c r="M48" s="90">
        <f>D48</f>
        <v>0</v>
      </c>
      <c r="N48" s="91"/>
    </row>
    <row r="49" spans="2:15" s="2" customFormat="1" ht="18.75" customHeight="1" x14ac:dyDescent="0.45">
      <c r="B49" s="56" t="s">
        <v>63</v>
      </c>
      <c r="C49" s="29"/>
      <c r="D49" s="29">
        <f>C49/G49</f>
        <v>0</v>
      </c>
      <c r="F49" s="53"/>
      <c r="G49" s="54">
        <f t="shared" si="0"/>
        <v>1</v>
      </c>
      <c r="H49" s="52"/>
      <c r="I49" s="86" t="s">
        <v>59</v>
      </c>
      <c r="J49" s="87" t="e">
        <f>ROUNDUP(C49/$C$48,0)</f>
        <v>#DIV/0!</v>
      </c>
      <c r="K49" s="88"/>
      <c r="L49" s="89">
        <v>1</v>
      </c>
      <c r="M49" s="90">
        <f>C49/L49</f>
        <v>0</v>
      </c>
      <c r="N49" s="91"/>
    </row>
    <row r="50" spans="2:15" s="2" customFormat="1" ht="18.75" customHeight="1" x14ac:dyDescent="0.45">
      <c r="B50" s="28" t="s">
        <v>64</v>
      </c>
      <c r="C50" s="29"/>
      <c r="D50" s="29">
        <f t="shared" ref="D50:D53" si="1">C50/G50</f>
        <v>0</v>
      </c>
      <c r="F50" s="53"/>
      <c r="G50" s="54">
        <v>1</v>
      </c>
      <c r="H50" s="52"/>
      <c r="I50" s="86" t="s">
        <v>59</v>
      </c>
      <c r="J50" s="87" t="e">
        <f>ROUNDUP(C50/$C$48,0)</f>
        <v>#DIV/0!</v>
      </c>
      <c r="K50" s="88"/>
      <c r="L50" s="89">
        <v>1</v>
      </c>
      <c r="M50" s="90">
        <f t="shared" ref="M50:M53" si="2">C50/L50</f>
        <v>0</v>
      </c>
      <c r="N50" s="91"/>
    </row>
    <row r="51" spans="2:15" s="2" customFormat="1" ht="18.75" customHeight="1" x14ac:dyDescent="0.45">
      <c r="B51" s="28" t="s">
        <v>65</v>
      </c>
      <c r="C51" s="29"/>
      <c r="D51" s="29">
        <f t="shared" si="1"/>
        <v>0</v>
      </c>
      <c r="F51" s="53"/>
      <c r="G51" s="54">
        <v>1</v>
      </c>
      <c r="H51" s="52"/>
      <c r="I51" s="86" t="s">
        <v>59</v>
      </c>
      <c r="J51" s="87" t="e">
        <f>ROUNDUP(C51/$C$48,0)</f>
        <v>#DIV/0!</v>
      </c>
      <c r="K51" s="88"/>
      <c r="L51" s="89">
        <v>1</v>
      </c>
      <c r="M51" s="90">
        <f t="shared" si="2"/>
        <v>0</v>
      </c>
      <c r="N51" s="91"/>
    </row>
    <row r="52" spans="2:15" s="2" customFormat="1" ht="18.75" customHeight="1" x14ac:dyDescent="0.45">
      <c r="B52" s="28" t="s">
        <v>66</v>
      </c>
      <c r="C52" s="29"/>
      <c r="D52" s="29">
        <f t="shared" si="1"/>
        <v>0</v>
      </c>
      <c r="F52" s="53"/>
      <c r="G52" s="54">
        <v>1</v>
      </c>
      <c r="H52" s="52"/>
      <c r="I52" s="86" t="s">
        <v>59</v>
      </c>
      <c r="J52" s="87" t="e">
        <f>ROUNDUP(C52/$C$48,0)</f>
        <v>#DIV/0!</v>
      </c>
      <c r="K52" s="88"/>
      <c r="L52" s="89">
        <v>1</v>
      </c>
      <c r="M52" s="90">
        <f t="shared" si="2"/>
        <v>0</v>
      </c>
      <c r="N52" s="91"/>
    </row>
    <row r="53" spans="2:15" s="2" customFormat="1" ht="18.75" customHeight="1" x14ac:dyDescent="0.45">
      <c r="B53" s="28" t="s">
        <v>67</v>
      </c>
      <c r="C53" s="29"/>
      <c r="D53" s="29">
        <f t="shared" si="1"/>
        <v>0</v>
      </c>
      <c r="F53" s="53"/>
      <c r="G53" s="54">
        <v>2</v>
      </c>
      <c r="H53" s="52"/>
      <c r="I53" s="86" t="s">
        <v>59</v>
      </c>
      <c r="J53" s="87" t="e">
        <f>ROUNDUP(C53/$C$48,0)</f>
        <v>#DIV/0!</v>
      </c>
      <c r="K53" s="88"/>
      <c r="L53" s="89">
        <v>4</v>
      </c>
      <c r="M53" s="90">
        <f t="shared" si="2"/>
        <v>0</v>
      </c>
      <c r="N53" s="91"/>
    </row>
    <row r="54" spans="2:15" s="2" customFormat="1" ht="18.75" customHeight="1" x14ac:dyDescent="0.45">
      <c r="B54" s="41" t="s">
        <v>6</v>
      </c>
      <c r="C54" s="111"/>
      <c r="D54" s="111"/>
      <c r="E54" s="57"/>
      <c r="F54" s="2">
        <f>SUM(F45:F53)</f>
        <v>1</v>
      </c>
      <c r="G54" s="2" t="e">
        <f>SUM(G45:G53)</f>
        <v>#DIV/0!</v>
      </c>
      <c r="H54" s="52"/>
      <c r="I54" s="86" t="s">
        <v>68</v>
      </c>
      <c r="J54" s="87" t="e">
        <f>SUM(J45:J53)</f>
        <v>#DIV/0!</v>
      </c>
      <c r="K54" s="88"/>
      <c r="L54" s="92" t="e">
        <f>SUM(L45:L53)</f>
        <v>#DIV/0!</v>
      </c>
      <c r="M54" s="93" t="e">
        <f>MAX(M45:M53)*L54</f>
        <v>#DIV/0!</v>
      </c>
      <c r="N54" s="89"/>
    </row>
    <row r="55" spans="2:15" s="2" customFormat="1" ht="18.75" customHeight="1" x14ac:dyDescent="0.45">
      <c r="B55" s="58" t="s">
        <v>42</v>
      </c>
      <c r="C55" s="111"/>
      <c r="D55" s="111"/>
      <c r="E55" s="59"/>
      <c r="F55" s="60"/>
      <c r="G55" s="61"/>
      <c r="H55" s="61"/>
      <c r="I55" s="94"/>
      <c r="J55" s="60"/>
      <c r="K55" s="60"/>
      <c r="L55" s="60"/>
    </row>
    <row r="57" spans="2:15" ht="18.75" customHeight="1" x14ac:dyDescent="0.35">
      <c r="B57" s="22" t="s">
        <v>69</v>
      </c>
      <c r="C57" s="19"/>
      <c r="D57" s="19"/>
      <c r="E57" s="19"/>
      <c r="F57" s="23"/>
      <c r="G57" s="24"/>
      <c r="H57" s="24"/>
      <c r="I57" s="23"/>
      <c r="J57" s="23"/>
      <c r="K57" s="65"/>
    </row>
    <row r="58" spans="2:15" ht="31" x14ac:dyDescent="0.3">
      <c r="B58" s="7" t="s">
        <v>22</v>
      </c>
      <c r="C58" s="25" t="s">
        <v>48</v>
      </c>
      <c r="D58" s="25" t="s">
        <v>49</v>
      </c>
      <c r="F58" s="26" t="s">
        <v>25</v>
      </c>
      <c r="G58" s="27" t="s">
        <v>26</v>
      </c>
      <c r="I58" s="79"/>
      <c r="J58" s="79"/>
      <c r="K58" s="80"/>
      <c r="L58" s="79"/>
      <c r="M58" s="79"/>
    </row>
    <row r="59" spans="2:15" ht="18.75" customHeight="1" x14ac:dyDescent="0.35">
      <c r="B59" s="28" t="s">
        <v>69</v>
      </c>
      <c r="C59" s="29">
        <v>0</v>
      </c>
      <c r="D59" s="30">
        <f>C59*F59</f>
        <v>0</v>
      </c>
      <c r="F59" s="31">
        <v>1</v>
      </c>
      <c r="G59" s="32">
        <v>1</v>
      </c>
      <c r="I59" s="34"/>
      <c r="J59" s="23"/>
      <c r="K59" s="69"/>
      <c r="L59" s="23"/>
      <c r="M59" s="65"/>
      <c r="O59" s="81"/>
    </row>
    <row r="60" spans="2:15" ht="18.75" customHeight="1" x14ac:dyDescent="0.35">
      <c r="B60" s="41" t="s">
        <v>8</v>
      </c>
      <c r="C60" s="111">
        <f>SUM(C59:C59)*G59/$C$4</f>
        <v>0</v>
      </c>
      <c r="D60" s="111"/>
      <c r="E60" s="42"/>
      <c r="G60" s="43"/>
      <c r="H60" s="43"/>
      <c r="J60" s="23"/>
      <c r="K60" s="65"/>
    </row>
    <row r="61" spans="2:15" ht="18.75" customHeight="1" x14ac:dyDescent="0.35">
      <c r="B61" s="44" t="s">
        <v>42</v>
      </c>
      <c r="C61" s="111">
        <f>SUM(D59:D59)/$C$4</f>
        <v>0</v>
      </c>
      <c r="D61" s="111"/>
      <c r="E61" s="42"/>
      <c r="G61" s="43"/>
      <c r="H61" s="43"/>
      <c r="J61" s="23"/>
      <c r="K61" s="65"/>
    </row>
    <row r="62" spans="2:15" ht="18.75" customHeight="1" x14ac:dyDescent="0.35">
      <c r="B62" s="45"/>
      <c r="C62" s="45"/>
      <c r="D62" s="45"/>
      <c r="E62" s="45"/>
      <c r="F62" s="45"/>
      <c r="G62" s="45"/>
      <c r="H62" s="45"/>
      <c r="I62" s="45"/>
      <c r="J62" s="23"/>
      <c r="K62" s="65"/>
    </row>
    <row r="63" spans="2:15" ht="18.75" customHeight="1" x14ac:dyDescent="0.4">
      <c r="B63" s="62" t="s">
        <v>70</v>
      </c>
      <c r="C63" s="19"/>
      <c r="D63" s="19"/>
      <c r="E63" s="19"/>
      <c r="F63" s="23"/>
      <c r="G63" s="24"/>
      <c r="H63" s="24"/>
      <c r="I63" s="23"/>
      <c r="J63" s="23"/>
      <c r="K63" s="65"/>
    </row>
    <row r="64" spans="2:15" ht="31" x14ac:dyDescent="0.3">
      <c r="B64" s="7" t="s">
        <v>22</v>
      </c>
      <c r="C64" s="25" t="s">
        <v>48</v>
      </c>
      <c r="D64" s="25" t="s">
        <v>49</v>
      </c>
      <c r="F64" s="26" t="s">
        <v>25</v>
      </c>
      <c r="G64" s="27" t="s">
        <v>26</v>
      </c>
      <c r="I64" s="79"/>
      <c r="J64" s="79"/>
      <c r="K64" s="80"/>
      <c r="L64" s="79"/>
      <c r="M64" s="79"/>
    </row>
    <row r="65" spans="2:15" ht="18.75" customHeight="1" x14ac:dyDescent="0.35">
      <c r="B65" s="55" t="s">
        <v>70</v>
      </c>
      <c r="C65" s="29">
        <v>45</v>
      </c>
      <c r="D65" s="30">
        <f>C65*F65</f>
        <v>0</v>
      </c>
      <c r="F65" s="31"/>
      <c r="G65" s="32">
        <v>1</v>
      </c>
      <c r="I65" s="34"/>
      <c r="J65" s="23"/>
      <c r="K65" s="69"/>
      <c r="L65" s="23"/>
      <c r="M65" s="65"/>
      <c r="O65" s="81"/>
    </row>
    <row r="66" spans="2:15" ht="18.75" customHeight="1" x14ac:dyDescent="0.35">
      <c r="B66" s="41" t="s">
        <v>9</v>
      </c>
      <c r="C66" s="111">
        <f>SUM(C65:C65)*G65</f>
        <v>45</v>
      </c>
      <c r="D66" s="111"/>
      <c r="E66" s="42"/>
      <c r="G66" s="43"/>
      <c r="H66" s="43"/>
      <c r="J66" s="23"/>
      <c r="K66" s="65"/>
    </row>
    <row r="67" spans="2:15" ht="18.75" customHeight="1" x14ac:dyDescent="0.35">
      <c r="B67" s="44" t="s">
        <v>42</v>
      </c>
      <c r="C67" s="111">
        <f>SUM(D65:D65)/$C$4</f>
        <v>0</v>
      </c>
      <c r="D67" s="111"/>
      <c r="E67" s="42"/>
      <c r="G67" s="43"/>
      <c r="H67" s="43"/>
      <c r="J67" s="23"/>
      <c r="K67" s="65"/>
    </row>
    <row r="68" spans="2:15" ht="18.75" customHeight="1" x14ac:dyDescent="0.35">
      <c r="B68" s="45"/>
      <c r="C68" s="45"/>
      <c r="D68" s="45"/>
      <c r="E68" s="45"/>
      <c r="F68" s="45"/>
      <c r="G68" s="45"/>
      <c r="H68" s="45"/>
      <c r="I68" s="45"/>
      <c r="J68" s="23"/>
      <c r="K68" s="65"/>
    </row>
    <row r="69" spans="2:15" x14ac:dyDescent="0.35">
      <c r="B69" s="95" t="s">
        <v>71</v>
      </c>
      <c r="C69" s="96"/>
      <c r="D69" s="96"/>
      <c r="E69" s="96"/>
      <c r="F69" s="97"/>
      <c r="G69" s="98"/>
      <c r="H69" s="99"/>
      <c r="I69" s="99"/>
      <c r="J69" s="99"/>
      <c r="K69" s="99"/>
      <c r="L69" s="99"/>
      <c r="M69" s="99"/>
      <c r="N69" s="99"/>
    </row>
    <row r="70" spans="2:15" ht="31" x14ac:dyDescent="0.35">
      <c r="B70" s="7" t="s">
        <v>22</v>
      </c>
      <c r="C70" s="25" t="s">
        <v>48</v>
      </c>
      <c r="D70" s="25" t="s">
        <v>49</v>
      </c>
      <c r="E70" s="100"/>
      <c r="F70" s="26" t="s">
        <v>25</v>
      </c>
      <c r="G70" s="27" t="s">
        <v>26</v>
      </c>
      <c r="H70" s="99"/>
      <c r="I70" s="99"/>
      <c r="J70" s="99"/>
      <c r="K70" s="99"/>
      <c r="L70" s="99"/>
      <c r="M70" s="99"/>
      <c r="N70" s="99"/>
    </row>
    <row r="71" spans="2:15" ht="20.25" customHeight="1" x14ac:dyDescent="0.35">
      <c r="B71" s="101" t="s">
        <v>2</v>
      </c>
      <c r="C71" s="102">
        <v>20</v>
      </c>
      <c r="D71" s="103">
        <f>C71*F71</f>
        <v>20</v>
      </c>
      <c r="E71" s="100"/>
      <c r="F71" s="104">
        <v>1</v>
      </c>
      <c r="G71" s="105">
        <v>1</v>
      </c>
      <c r="H71" s="99"/>
      <c r="I71" s="99"/>
      <c r="J71" s="99"/>
      <c r="K71" s="99"/>
      <c r="L71" s="99"/>
      <c r="M71" s="99"/>
      <c r="N71" s="99"/>
    </row>
    <row r="72" spans="2:15" ht="20.25" customHeight="1" x14ac:dyDescent="0.35">
      <c r="B72" s="106" t="s">
        <v>72</v>
      </c>
      <c r="C72" s="102"/>
      <c r="D72" s="103"/>
      <c r="E72" s="100"/>
      <c r="F72" s="104"/>
      <c r="G72" s="105">
        <v>1</v>
      </c>
      <c r="H72" s="99"/>
      <c r="I72" s="99"/>
      <c r="J72" s="99"/>
      <c r="K72" s="99"/>
      <c r="L72" s="99"/>
      <c r="M72" s="99"/>
      <c r="N72" s="99"/>
    </row>
    <row r="73" spans="2:15" ht="20.25" customHeight="1" x14ac:dyDescent="0.35">
      <c r="B73" s="106" t="s">
        <v>11</v>
      </c>
      <c r="C73" s="102"/>
      <c r="D73" s="103"/>
      <c r="E73" s="100"/>
      <c r="F73" s="104"/>
      <c r="G73" s="105"/>
      <c r="H73" s="99"/>
      <c r="I73" s="99"/>
      <c r="J73" s="99"/>
      <c r="K73" s="99"/>
      <c r="L73" s="99"/>
      <c r="M73" s="99"/>
      <c r="N73" s="99"/>
    </row>
    <row r="74" spans="2:15" ht="20.25" customHeight="1" x14ac:dyDescent="0.35">
      <c r="B74" s="106" t="s">
        <v>73</v>
      </c>
      <c r="C74" s="102"/>
      <c r="D74" s="102"/>
      <c r="E74" s="100"/>
      <c r="F74" s="104">
        <v>1</v>
      </c>
      <c r="G74" s="105">
        <v>2</v>
      </c>
      <c r="H74" s="99"/>
      <c r="I74" s="99"/>
      <c r="J74" s="99"/>
      <c r="K74" s="99"/>
      <c r="L74" s="99"/>
      <c r="M74" s="99"/>
      <c r="N74" s="99"/>
    </row>
    <row r="75" spans="2:15" ht="20.25" customHeight="1" x14ac:dyDescent="0.35">
      <c r="B75" s="106" t="s">
        <v>74</v>
      </c>
      <c r="C75" s="102"/>
      <c r="D75" s="103"/>
      <c r="E75" s="100"/>
      <c r="F75" s="104"/>
      <c r="G75" s="105">
        <v>2</v>
      </c>
      <c r="H75" s="99"/>
      <c r="I75" s="99"/>
      <c r="J75" s="99"/>
      <c r="K75" s="99"/>
      <c r="L75" s="99"/>
      <c r="M75" s="99"/>
      <c r="N75" s="99"/>
    </row>
    <row r="76" spans="2:15" ht="20.25" customHeight="1" x14ac:dyDescent="0.35">
      <c r="B76" s="106" t="s">
        <v>75</v>
      </c>
      <c r="C76" s="102"/>
      <c r="D76" s="103"/>
      <c r="E76" s="100"/>
      <c r="F76" s="104"/>
      <c r="G76" s="105">
        <v>2</v>
      </c>
      <c r="H76" s="99"/>
      <c r="I76" s="99"/>
      <c r="J76" s="99"/>
      <c r="K76" s="99"/>
      <c r="L76" s="99"/>
      <c r="M76" s="99"/>
      <c r="N76" s="99"/>
    </row>
    <row r="77" spans="2:15" ht="20.25" customHeight="1" x14ac:dyDescent="0.35">
      <c r="B77" s="41" t="s">
        <v>10</v>
      </c>
      <c r="C77" s="112">
        <f>SUM(C71:C76)</f>
        <v>20</v>
      </c>
      <c r="D77" s="113"/>
      <c r="E77" s="107"/>
      <c r="F77" s="100"/>
      <c r="G77" s="108"/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109" t="s">
        <v>42</v>
      </c>
      <c r="C78" s="112">
        <f>SUM(D71:D76)</f>
        <v>20</v>
      </c>
      <c r="D78" s="113"/>
      <c r="E78" s="107"/>
      <c r="F78" s="100"/>
      <c r="G78" s="108"/>
      <c r="H78" s="99"/>
      <c r="I78" s="99"/>
      <c r="J78" s="99"/>
      <c r="K78" s="99"/>
      <c r="L78" s="99"/>
      <c r="M78" s="99"/>
      <c r="N78" s="99"/>
    </row>
  </sheetData>
  <mergeCells count="22">
    <mergeCell ref="C41:D41"/>
    <mergeCell ref="B1:F1"/>
    <mergeCell ref="C2:F2"/>
    <mergeCell ref="C19:D19"/>
    <mergeCell ref="C20:D20"/>
    <mergeCell ref="C21:D21"/>
    <mergeCell ref="C67:D67"/>
    <mergeCell ref="C77:D77"/>
    <mergeCell ref="C78:D78"/>
    <mergeCell ref="B3:B4"/>
    <mergeCell ref="C4:C5"/>
    <mergeCell ref="D4:D5"/>
    <mergeCell ref="B8:G9"/>
    <mergeCell ref="C54:D54"/>
    <mergeCell ref="C55:D55"/>
    <mergeCell ref="C60:D60"/>
    <mergeCell ref="C61:D61"/>
    <mergeCell ref="C66:D66"/>
    <mergeCell ref="C33:D33"/>
    <mergeCell ref="C34:D34"/>
    <mergeCell ref="C35:D35"/>
    <mergeCell ref="C40:D40"/>
  </mergeCells>
  <phoneticPr fontId="31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FFFF00"/>
  </sheetPr>
  <dimension ref="B1:O79"/>
  <sheetViews>
    <sheetView showGridLines="0" zoomScale="70" zoomScaleNormal="70" workbookViewId="0">
      <selection activeCell="S21" sqref="S20:S2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hidden="1" customWidth="1" outlineLevel="1"/>
    <col min="10" max="11" width="10.5" style="3" hidden="1" customWidth="1" outlineLevel="1"/>
    <col min="12" max="12" width="15.33203125" style="3" hidden="1" customWidth="1" outlineLevel="1"/>
    <col min="13" max="13" width="12.58203125" style="3" hidden="1" customWidth="1" outlineLevel="1"/>
    <col min="14" max="14" width="15.58203125" style="3" customWidth="1" collapsed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ht="16.5" x14ac:dyDescent="0.4">
      <c r="B2" s="7" t="s">
        <v>13</v>
      </c>
      <c r="C2" s="123" t="s">
        <v>81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3</v>
      </c>
      <c r="D4" s="118">
        <v>0.3</v>
      </c>
      <c r="E4" s="12"/>
      <c r="F4" s="12"/>
      <c r="L4" s="6"/>
      <c r="M4" s="8"/>
    </row>
    <row r="5" spans="2:14" ht="18.75" customHeight="1" x14ac:dyDescent="0.35">
      <c r="B5" s="11"/>
      <c r="C5" s="117"/>
      <c r="D5" s="118"/>
      <c r="E5" s="12"/>
      <c r="F5" s="12"/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C21+C36+C55+C78+C42+C61+C67</f>
        <v>570</v>
      </c>
      <c r="D6" s="15">
        <f>(C6-F6)/0.8</f>
        <v>712.5</v>
      </c>
      <c r="E6" s="16" t="s">
        <v>20</v>
      </c>
      <c r="F6" s="17">
        <f>VLOOKUP(E6,$B$68:$C$82,2,0)</f>
        <v>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C22+C37+C56+C79+C43+C62+C68</f>
        <v>50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 t="s">
        <v>82</v>
      </c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35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48.780645161290302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714</v>
      </c>
      <c r="L15" s="73">
        <v>5</v>
      </c>
      <c r="M15" s="74">
        <v>0.64400000000000002</v>
      </c>
    </row>
    <row r="16" spans="2:14" ht="18.75" customHeight="1" x14ac:dyDescent="0.35">
      <c r="B16" s="28" t="s">
        <v>36</v>
      </c>
      <c r="C16" s="29"/>
      <c r="D16" s="30">
        <v>48.732727356195198</v>
      </c>
      <c r="F16" s="31"/>
      <c r="G16" s="32">
        <v>1</v>
      </c>
      <c r="I16" s="70">
        <v>0.60099999999999998</v>
      </c>
      <c r="J16" s="71">
        <f>3600/I16/83000</f>
        <v>7.2168875167892901E-2</v>
      </c>
      <c r="K16" s="72">
        <v>334</v>
      </c>
      <c r="L16" s="73">
        <v>5</v>
      </c>
      <c r="M16" s="74">
        <v>0.35599999999999998</v>
      </c>
    </row>
    <row r="17" spans="2:13" ht="18.75" customHeight="1" x14ac:dyDescent="0.35">
      <c r="B17" s="28" t="s">
        <v>37</v>
      </c>
      <c r="C17" s="29"/>
      <c r="D17" s="30">
        <f>($D$4+0.15)/0.95*60</f>
        <v>28.421052631578899</v>
      </c>
      <c r="F17" s="31">
        <v>1</v>
      </c>
      <c r="G17" s="32"/>
      <c r="I17" s="75"/>
      <c r="J17" s="76"/>
      <c r="K17" s="4"/>
      <c r="L17" s="77"/>
      <c r="M17" s="65"/>
    </row>
    <row r="18" spans="2:13" ht="18.75" customHeight="1" x14ac:dyDescent="0.35">
      <c r="B18" s="28" t="s">
        <v>38</v>
      </c>
      <c r="C18" s="29"/>
      <c r="D18" s="30">
        <v>35</v>
      </c>
      <c r="F18" s="31"/>
      <c r="G18" s="32"/>
      <c r="I18" s="73" t="s">
        <v>39</v>
      </c>
      <c r="J18" s="78">
        <f>SUM(D15:D16)/(MAX(D15:D16)*COUNT(D15:D16))</f>
        <v>0.99950884408214902</v>
      </c>
      <c r="K18" s="4"/>
      <c r="L18" s="23"/>
      <c r="M18" s="65"/>
    </row>
    <row r="19" spans="2:13" ht="18.75" customHeight="1" x14ac:dyDescent="0.35">
      <c r="B19" s="28" t="s">
        <v>40</v>
      </c>
      <c r="C19" s="29">
        <v>30</v>
      </c>
      <c r="D19" s="30"/>
      <c r="E19" s="34"/>
      <c r="F19" s="35"/>
      <c r="G19" s="36">
        <v>1</v>
      </c>
      <c r="H19" s="18"/>
      <c r="I19" s="23"/>
      <c r="J19" s="23"/>
      <c r="K19" s="65"/>
    </row>
    <row r="20" spans="2:13" ht="18.75" customHeight="1" x14ac:dyDescent="0.35">
      <c r="B20" s="37" t="s">
        <v>41</v>
      </c>
      <c r="C20" s="120">
        <f>MAX(D12:D19)</f>
        <v>48.780645161290302</v>
      </c>
      <c r="D20" s="120"/>
      <c r="E20" s="38"/>
      <c r="F20" s="31">
        <f>SUM(F12:F19)</f>
        <v>3</v>
      </c>
      <c r="G20" s="39">
        <f>SUM(G12:G19)</f>
        <v>5</v>
      </c>
      <c r="H20" s="40"/>
      <c r="I20" s="23"/>
      <c r="J20" s="23"/>
      <c r="K20" s="65"/>
    </row>
    <row r="21" spans="2:13" ht="18.75" customHeight="1" x14ac:dyDescent="0.35">
      <c r="B21" s="41" t="s">
        <v>4</v>
      </c>
      <c r="C21" s="111"/>
      <c r="D21" s="111"/>
      <c r="E21" s="42"/>
      <c r="G21" s="3"/>
      <c r="H21" s="43"/>
      <c r="J21" s="23"/>
      <c r="K21" s="65"/>
    </row>
    <row r="22" spans="2:13" ht="18.75" customHeight="1" x14ac:dyDescent="0.35">
      <c r="B22" s="44" t="s">
        <v>42</v>
      </c>
      <c r="C22" s="111"/>
      <c r="D22" s="111"/>
      <c r="E22" s="42"/>
      <c r="G22" s="3"/>
      <c r="H22" s="43"/>
      <c r="J22" s="23"/>
      <c r="K22" s="65"/>
    </row>
    <row r="23" spans="2:13" ht="18.75" customHeight="1" x14ac:dyDescent="0.35">
      <c r="B23" s="45"/>
      <c r="C23" s="45"/>
      <c r="D23" s="45"/>
      <c r="E23" s="45"/>
      <c r="F23" s="45"/>
      <c r="G23" s="45"/>
      <c r="H23" s="45"/>
      <c r="I23" s="45"/>
      <c r="J23" s="23"/>
      <c r="K23" s="65"/>
    </row>
    <row r="24" spans="2:13" ht="18.75" customHeight="1" x14ac:dyDescent="0.35">
      <c r="B24" s="22" t="s">
        <v>43</v>
      </c>
      <c r="C24" s="19"/>
      <c r="D24" s="19"/>
      <c r="E24" s="19"/>
      <c r="F24" s="23"/>
      <c r="G24" s="24"/>
      <c r="H24" s="24"/>
      <c r="I24" s="23"/>
      <c r="J24" s="23"/>
      <c r="K24" s="65"/>
    </row>
    <row r="25" spans="2:13" ht="31" x14ac:dyDescent="0.3">
      <c r="B25" s="7" t="s">
        <v>22</v>
      </c>
      <c r="C25" s="25" t="s">
        <v>23</v>
      </c>
      <c r="D25" s="25" t="s">
        <v>24</v>
      </c>
      <c r="F25" s="26" t="s">
        <v>25</v>
      </c>
      <c r="G25" s="27" t="s">
        <v>26</v>
      </c>
      <c r="I25" s="66" t="s">
        <v>27</v>
      </c>
      <c r="J25" s="67" t="s">
        <v>28</v>
      </c>
      <c r="K25" s="68" t="s">
        <v>29</v>
      </c>
      <c r="L25" s="66" t="s">
        <v>30</v>
      </c>
      <c r="M25" s="66" t="s">
        <v>31</v>
      </c>
    </row>
    <row r="26" spans="2:13" ht="18.75" customHeight="1" x14ac:dyDescent="0.35">
      <c r="B26" s="28" t="s">
        <v>32</v>
      </c>
      <c r="C26" s="29">
        <v>30</v>
      </c>
      <c r="D26" s="30"/>
      <c r="F26" s="31"/>
      <c r="G26" s="32">
        <v>1</v>
      </c>
      <c r="I26" s="34"/>
      <c r="J26" s="23"/>
      <c r="K26" s="69"/>
      <c r="L26" s="23"/>
      <c r="M26" s="65"/>
    </row>
    <row r="27" spans="2:13" ht="18.75" customHeight="1" x14ac:dyDescent="0.35">
      <c r="B27" s="28" t="s">
        <v>33</v>
      </c>
      <c r="C27" s="29"/>
      <c r="D27" s="33">
        <v>35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34</v>
      </c>
      <c r="C28" s="29"/>
      <c r="D28" s="30">
        <v>30</v>
      </c>
      <c r="F28" s="31"/>
      <c r="G28" s="32"/>
      <c r="I28" s="34"/>
      <c r="J28" s="23"/>
      <c r="K28" s="69"/>
      <c r="L28" s="23"/>
      <c r="M28" s="65"/>
    </row>
    <row r="29" spans="2:13" ht="18.75" customHeight="1" x14ac:dyDescent="0.35">
      <c r="B29" s="28" t="s">
        <v>44</v>
      </c>
      <c r="C29" s="29"/>
      <c r="D29" s="30">
        <v>65.718279569892502</v>
      </c>
      <c r="F29" s="31">
        <v>1</v>
      </c>
      <c r="G29" s="32">
        <v>1</v>
      </c>
      <c r="I29" s="70">
        <v>0.63</v>
      </c>
      <c r="J29" s="71">
        <f>3600/I29/150000</f>
        <v>3.8095238095238099E-2</v>
      </c>
      <c r="K29" s="72">
        <v>1072</v>
      </c>
      <c r="L29" s="73">
        <v>5</v>
      </c>
      <c r="M29" s="74">
        <v>0.64400000000000002</v>
      </c>
    </row>
    <row r="30" spans="2:13" ht="18.75" customHeight="1" x14ac:dyDescent="0.35">
      <c r="B30" s="28" t="s">
        <v>45</v>
      </c>
      <c r="C30" s="29"/>
      <c r="D30" s="30">
        <v>65.700087223981996</v>
      </c>
      <c r="F30" s="31">
        <v>1</v>
      </c>
      <c r="G30" s="32">
        <v>1</v>
      </c>
      <c r="I30" s="70">
        <v>0.60099999999999998</v>
      </c>
      <c r="J30" s="71">
        <f>3600/I30/83000</f>
        <v>7.2168875167892901E-2</v>
      </c>
      <c r="K30" s="72">
        <v>502</v>
      </c>
      <c r="L30" s="73">
        <v>5</v>
      </c>
      <c r="M30" s="74">
        <v>0.35599999999999998</v>
      </c>
    </row>
    <row r="31" spans="2:13" ht="18.75" customHeight="1" x14ac:dyDescent="0.35">
      <c r="B31" s="28" t="s">
        <v>37</v>
      </c>
      <c r="C31" s="29"/>
      <c r="D31" s="30">
        <f>($D$4+0.15)/0.95*60</f>
        <v>28.421052631578899</v>
      </c>
      <c r="F31" s="31">
        <v>1</v>
      </c>
      <c r="G31" s="32"/>
      <c r="I31" s="75"/>
      <c r="J31" s="76"/>
      <c r="K31" s="4"/>
      <c r="L31" s="77"/>
      <c r="M31" s="65"/>
    </row>
    <row r="32" spans="2:13" ht="18.75" customHeight="1" x14ac:dyDescent="0.35">
      <c r="B32" s="28" t="s">
        <v>38</v>
      </c>
      <c r="C32" s="29"/>
      <c r="D32" s="30">
        <v>35</v>
      </c>
      <c r="F32" s="31">
        <v>1</v>
      </c>
      <c r="G32" s="32"/>
      <c r="I32" s="73" t="s">
        <v>39</v>
      </c>
      <c r="J32" s="78">
        <f>SUM(D29:D30)/(MAX(D29:D30)*COUNT(D29:D30))</f>
        <v>0.99986158838888095</v>
      </c>
      <c r="K32" s="4"/>
      <c r="L32" s="23"/>
      <c r="M32" s="65"/>
    </row>
    <row r="33" spans="2:15" ht="18.75" customHeight="1" x14ac:dyDescent="0.35">
      <c r="B33" s="28" t="s">
        <v>46</v>
      </c>
      <c r="C33" s="29">
        <v>30</v>
      </c>
      <c r="D33" s="30"/>
      <c r="E33" s="34"/>
      <c r="F33" s="35"/>
      <c r="G33" s="36">
        <v>1</v>
      </c>
      <c r="H33" s="18"/>
      <c r="I33" s="23"/>
      <c r="J33" s="23"/>
      <c r="K33" s="65"/>
    </row>
    <row r="34" spans="2:15" ht="18.75" customHeight="1" x14ac:dyDescent="0.35">
      <c r="B34" s="28" t="s">
        <v>40</v>
      </c>
      <c r="C34" s="29">
        <v>30</v>
      </c>
      <c r="D34" s="30"/>
      <c r="E34" s="34"/>
      <c r="F34" s="35"/>
      <c r="G34" s="36">
        <v>1</v>
      </c>
      <c r="H34" s="18"/>
      <c r="I34" s="23"/>
      <c r="J34" s="23"/>
      <c r="K34" s="65"/>
    </row>
    <row r="35" spans="2:15" ht="18.75" customHeight="1" x14ac:dyDescent="0.35">
      <c r="B35" s="37" t="s">
        <v>41</v>
      </c>
      <c r="C35" s="120">
        <f>MAX(D26:D34)</f>
        <v>65.718279569892502</v>
      </c>
      <c r="D35" s="120"/>
      <c r="E35" s="38"/>
      <c r="F35" s="31">
        <f>SUM(F26:F34)</f>
        <v>5</v>
      </c>
      <c r="G35" s="39">
        <f>SUM(G26:G34)</f>
        <v>5</v>
      </c>
      <c r="H35" s="40"/>
      <c r="I35" s="23"/>
      <c r="J35" s="23"/>
      <c r="K35" s="65"/>
    </row>
    <row r="36" spans="2:15" ht="18.75" customHeight="1" x14ac:dyDescent="0.35">
      <c r="B36" s="41" t="s">
        <v>5</v>
      </c>
      <c r="C36" s="111"/>
      <c r="D36" s="111"/>
      <c r="E36" s="42"/>
      <c r="G36" s="3"/>
      <c r="H36" s="43"/>
      <c r="J36" s="23"/>
      <c r="K36" s="65"/>
    </row>
    <row r="37" spans="2:15" ht="18.75" customHeight="1" x14ac:dyDescent="0.35">
      <c r="B37" s="41" t="s">
        <v>42</v>
      </c>
      <c r="C37" s="111"/>
      <c r="D37" s="111"/>
      <c r="E37" s="42"/>
      <c r="G37" s="3"/>
      <c r="H37" s="43"/>
      <c r="J37" s="23"/>
      <c r="K37" s="65"/>
    </row>
    <row r="38" spans="2:15" ht="18.75" customHeight="1" x14ac:dyDescent="0.35">
      <c r="B38" s="45"/>
      <c r="C38" s="45"/>
      <c r="D38" s="45"/>
      <c r="E38" s="45"/>
      <c r="F38" s="45"/>
      <c r="G38" s="45"/>
      <c r="H38" s="45"/>
      <c r="I38" s="45"/>
      <c r="J38" s="23"/>
      <c r="K38" s="65"/>
    </row>
    <row r="39" spans="2:15" ht="18.75" customHeight="1" x14ac:dyDescent="0.35">
      <c r="B39" s="22" t="s">
        <v>47</v>
      </c>
      <c r="C39" s="19"/>
      <c r="D39" s="19"/>
      <c r="E39" s="19"/>
      <c r="F39" s="23"/>
      <c r="G39" s="24"/>
      <c r="H39" s="24"/>
      <c r="I39" s="23"/>
      <c r="J39" s="23"/>
      <c r="K39" s="65"/>
    </row>
    <row r="40" spans="2:15" ht="31" x14ac:dyDescent="0.3">
      <c r="B40" s="7" t="s">
        <v>22</v>
      </c>
      <c r="C40" s="25" t="s">
        <v>48</v>
      </c>
      <c r="D40" s="25" t="s">
        <v>49</v>
      </c>
      <c r="F40" s="26" t="s">
        <v>25</v>
      </c>
      <c r="G40" s="27" t="s">
        <v>26</v>
      </c>
      <c r="I40" s="79"/>
      <c r="J40" s="79"/>
      <c r="K40" s="80"/>
      <c r="L40" s="79"/>
      <c r="M40" s="79"/>
    </row>
    <row r="41" spans="2:15" ht="18.75" customHeight="1" x14ac:dyDescent="0.35">
      <c r="B41" s="28" t="s">
        <v>47</v>
      </c>
      <c r="C41" s="29">
        <v>0</v>
      </c>
      <c r="D41" s="30">
        <f>C41*F41/G41</f>
        <v>0</v>
      </c>
      <c r="F41" s="31"/>
      <c r="G41" s="32">
        <v>1</v>
      </c>
      <c r="I41" s="34"/>
      <c r="J41" s="23"/>
      <c r="K41" s="69"/>
      <c r="L41" s="23"/>
      <c r="M41" s="65"/>
      <c r="O41" s="81"/>
    </row>
    <row r="42" spans="2:15" ht="18.75" customHeight="1" x14ac:dyDescent="0.35">
      <c r="B42" s="41" t="s">
        <v>7</v>
      </c>
      <c r="C42" s="111">
        <f>SUM(C41:C41)/$C$4</f>
        <v>0</v>
      </c>
      <c r="D42" s="111"/>
      <c r="E42" s="42"/>
      <c r="G42" s="43"/>
      <c r="H42" s="43"/>
      <c r="J42" s="23"/>
      <c r="K42" s="65"/>
    </row>
    <row r="43" spans="2:15" ht="18.75" customHeight="1" x14ac:dyDescent="0.35">
      <c r="B43" s="44" t="s">
        <v>42</v>
      </c>
      <c r="C43" s="111">
        <f>SUM(D41:D41)/$C$4</f>
        <v>0</v>
      </c>
      <c r="D43" s="111"/>
      <c r="E43" s="42"/>
      <c r="G43" s="43"/>
      <c r="H43" s="43"/>
      <c r="J43" s="23"/>
      <c r="K43" s="65"/>
    </row>
    <row r="44" spans="2:15" ht="18.75" customHeight="1" x14ac:dyDescent="0.35">
      <c r="B44" s="45"/>
      <c r="C44" s="45"/>
      <c r="D44" s="45"/>
      <c r="E44" s="45"/>
      <c r="F44" s="45"/>
      <c r="G44" s="45"/>
      <c r="H44" s="45"/>
      <c r="I44" s="45"/>
      <c r="J44" s="23"/>
      <c r="K44" s="65"/>
    </row>
    <row r="45" spans="2:15" s="2" customFormat="1" ht="18.75" customHeight="1" x14ac:dyDescent="0.45">
      <c r="B45" s="46" t="s">
        <v>50</v>
      </c>
      <c r="C45" s="47"/>
      <c r="D45" s="48"/>
      <c r="E45" s="48"/>
      <c r="F45" s="48"/>
      <c r="G45" s="49"/>
      <c r="H45" s="49"/>
      <c r="I45" s="82"/>
      <c r="J45" s="48"/>
      <c r="K45" s="48"/>
      <c r="L45" s="48"/>
    </row>
    <row r="46" spans="2:15" s="2" customFormat="1" ht="37" x14ac:dyDescent="0.3">
      <c r="B46" s="7" t="s">
        <v>22</v>
      </c>
      <c r="C46" s="25" t="s">
        <v>51</v>
      </c>
      <c r="D46" s="25" t="s">
        <v>52</v>
      </c>
      <c r="F46" s="50" t="s">
        <v>25</v>
      </c>
      <c r="G46" s="51" t="s">
        <v>26</v>
      </c>
      <c r="H46" s="52"/>
      <c r="I46" s="83"/>
      <c r="J46" s="84" t="s">
        <v>53</v>
      </c>
      <c r="K46" s="85" t="s">
        <v>54</v>
      </c>
      <c r="L46" s="84" t="s">
        <v>55</v>
      </c>
      <c r="M46" s="84" t="s">
        <v>56</v>
      </c>
      <c r="N46" s="84" t="s">
        <v>57</v>
      </c>
    </row>
    <row r="47" spans="2:15" s="2" customFormat="1" ht="18.75" customHeight="1" x14ac:dyDescent="0.45">
      <c r="B47" s="28" t="s">
        <v>58</v>
      </c>
      <c r="C47" s="29">
        <v>40</v>
      </c>
      <c r="D47" s="29">
        <f>C47/L47</f>
        <v>40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40</v>
      </c>
      <c r="N47" s="91"/>
    </row>
    <row r="48" spans="2:15" s="2" customFormat="1" ht="18.75" customHeight="1" x14ac:dyDescent="0.45">
      <c r="B48" s="28" t="s">
        <v>60</v>
      </c>
      <c r="C48" s="29">
        <f>K48*8</f>
        <v>0</v>
      </c>
      <c r="D48" s="29" t="e">
        <f>C48/L48</f>
        <v>#DIV/0!</v>
      </c>
      <c r="F48" s="53"/>
      <c r="G48" s="54">
        <f>L48</f>
        <v>0</v>
      </c>
      <c r="H48" s="52"/>
      <c r="I48" s="86" t="s">
        <v>59</v>
      </c>
      <c r="J48" s="87">
        <f>ROUNDUP(C48/$C$50,0)</f>
        <v>0</v>
      </c>
      <c r="K48" s="88"/>
      <c r="L48" s="89">
        <f>IF(J48&gt;10,10,J48)</f>
        <v>0</v>
      </c>
      <c r="M48" s="90" t="e">
        <f>C48/L48</f>
        <v>#DIV/0!</v>
      </c>
      <c r="N48" s="91">
        <v>1</v>
      </c>
    </row>
    <row r="49" spans="2:15" s="2" customFormat="1" ht="18.75" customHeight="1" x14ac:dyDescent="0.45">
      <c r="B49" s="55" t="s">
        <v>61</v>
      </c>
      <c r="C49" s="29">
        <v>40</v>
      </c>
      <c r="D49" s="29">
        <f>C49/L49</f>
        <v>40</v>
      </c>
      <c r="F49" s="53"/>
      <c r="G49" s="54">
        <f>L49</f>
        <v>1</v>
      </c>
      <c r="H49" s="52"/>
      <c r="I49" s="86" t="s">
        <v>59</v>
      </c>
      <c r="J49" s="87">
        <v>1</v>
      </c>
      <c r="K49" s="88"/>
      <c r="L49" s="89">
        <v>1</v>
      </c>
      <c r="M49" s="90">
        <f>C49/L49</f>
        <v>40</v>
      </c>
      <c r="N49" s="91"/>
    </row>
    <row r="50" spans="2:15" s="2" customFormat="1" ht="18.75" customHeight="1" x14ac:dyDescent="0.45">
      <c r="B50" s="28" t="s">
        <v>62</v>
      </c>
      <c r="C50" s="29">
        <f>IF($D$4&gt;0.3,($D$4+0.3)/0.8*60,(0.3+0.4)/0.8*60)</f>
        <v>52.5</v>
      </c>
      <c r="D50" s="29">
        <f>C50</f>
        <v>52.5</v>
      </c>
      <c r="F50" s="53">
        <v>1</v>
      </c>
      <c r="G50" s="54">
        <f t="shared" ref="G50:G51" si="0">L50</f>
        <v>0</v>
      </c>
      <c r="H50" s="52"/>
      <c r="I50" s="86"/>
      <c r="J50" s="87"/>
      <c r="K50" s="88"/>
      <c r="L50" s="89"/>
      <c r="M50" s="90">
        <f>D50</f>
        <v>52.5</v>
      </c>
      <c r="N50" s="91"/>
    </row>
    <row r="51" spans="2:15" s="2" customFormat="1" ht="18.75" customHeight="1" x14ac:dyDescent="0.45">
      <c r="B51" s="56" t="s">
        <v>63</v>
      </c>
      <c r="C51" s="29">
        <v>40</v>
      </c>
      <c r="D51" s="29">
        <f>C51/G51</f>
        <v>40</v>
      </c>
      <c r="F51" s="53"/>
      <c r="G51" s="54">
        <f t="shared" si="0"/>
        <v>1</v>
      </c>
      <c r="H51" s="52"/>
      <c r="I51" s="86" t="s">
        <v>59</v>
      </c>
      <c r="J51" s="87">
        <f>ROUNDUP(C51/$C$50,0)</f>
        <v>1</v>
      </c>
      <c r="K51" s="88"/>
      <c r="L51" s="89">
        <v>1</v>
      </c>
      <c r="M51" s="90">
        <f>C51/L51</f>
        <v>40</v>
      </c>
      <c r="N51" s="91"/>
    </row>
    <row r="52" spans="2:15" s="2" customFormat="1" ht="18.75" customHeight="1" x14ac:dyDescent="0.45">
      <c r="B52" s="28" t="s">
        <v>64</v>
      </c>
      <c r="C52" s="29">
        <v>40</v>
      </c>
      <c r="D52" s="29">
        <f t="shared" ref="D52:D54" si="1">C52/G52</f>
        <v>40</v>
      </c>
      <c r="F52" s="53"/>
      <c r="G52" s="54">
        <v>1</v>
      </c>
      <c r="H52" s="52"/>
      <c r="I52" s="86" t="s">
        <v>59</v>
      </c>
      <c r="J52" s="87">
        <f>ROUNDUP(C52/$C$50,0)</f>
        <v>1</v>
      </c>
      <c r="K52" s="88"/>
      <c r="L52" s="89">
        <v>1</v>
      </c>
      <c r="M52" s="90">
        <f t="shared" ref="M52:M54" si="2">C52/L52</f>
        <v>40</v>
      </c>
      <c r="N52" s="91"/>
    </row>
    <row r="53" spans="2:15" s="2" customFormat="1" ht="18.75" customHeight="1" x14ac:dyDescent="0.45">
      <c r="B53" s="28" t="s">
        <v>65</v>
      </c>
      <c r="C53" s="29">
        <v>40</v>
      </c>
      <c r="D53" s="29">
        <f t="shared" si="1"/>
        <v>40</v>
      </c>
      <c r="F53" s="53"/>
      <c r="G53" s="54">
        <v>1</v>
      </c>
      <c r="H53" s="52"/>
      <c r="I53" s="86" t="s">
        <v>59</v>
      </c>
      <c r="J53" s="87">
        <f>ROUNDUP(C53/$C$50,0)</f>
        <v>1</v>
      </c>
      <c r="K53" s="88"/>
      <c r="L53" s="89">
        <v>1</v>
      </c>
      <c r="M53" s="90">
        <f t="shared" si="2"/>
        <v>40</v>
      </c>
      <c r="N53" s="91"/>
    </row>
    <row r="54" spans="2:15" s="2" customFormat="1" ht="18.75" customHeight="1" x14ac:dyDescent="0.45">
      <c r="B54" s="28" t="s">
        <v>67</v>
      </c>
      <c r="C54" s="29">
        <v>40</v>
      </c>
      <c r="D54" s="29">
        <f t="shared" si="1"/>
        <v>40</v>
      </c>
      <c r="F54" s="53"/>
      <c r="G54" s="54">
        <v>1</v>
      </c>
      <c r="H54" s="52"/>
      <c r="I54" s="86" t="s">
        <v>59</v>
      </c>
      <c r="J54" s="87">
        <f>ROUNDUP(C54/$C$50,0)</f>
        <v>1</v>
      </c>
      <c r="K54" s="88"/>
      <c r="L54" s="89">
        <v>4</v>
      </c>
      <c r="M54" s="90">
        <f t="shared" si="2"/>
        <v>10</v>
      </c>
      <c r="N54" s="91"/>
    </row>
    <row r="55" spans="2:15" s="2" customFormat="1" ht="18.75" customHeight="1" x14ac:dyDescent="0.45">
      <c r="B55" s="41" t="s">
        <v>6</v>
      </c>
      <c r="C55" s="125">
        <f>IF($K$48&gt;0,MAX(D47:D54)*G55/C4,0)</f>
        <v>0</v>
      </c>
      <c r="D55" s="126"/>
      <c r="E55" s="57"/>
      <c r="F55" s="2">
        <f>SUM(F47:F54)</f>
        <v>1</v>
      </c>
      <c r="G55" s="2">
        <f>SUM(G47:G54)</f>
        <v>6</v>
      </c>
      <c r="H55" s="52"/>
      <c r="I55" s="86" t="s">
        <v>68</v>
      </c>
      <c r="J55" s="87">
        <f>SUM(J47:J54)</f>
        <v>6</v>
      </c>
      <c r="K55" s="88"/>
      <c r="L55" s="92">
        <f>SUM(L47:L54)</f>
        <v>9</v>
      </c>
      <c r="M55" s="93" t="e">
        <f>MAX(M47:M54)*L55</f>
        <v>#DIV/0!</v>
      </c>
      <c r="N55" s="89"/>
    </row>
    <row r="56" spans="2:15" s="2" customFormat="1" ht="18.75" customHeight="1" x14ac:dyDescent="0.45">
      <c r="B56" s="58" t="s">
        <v>42</v>
      </c>
      <c r="C56" s="125">
        <f>IF($K$48&gt;0,MAX(D47:D54)*F55/C4,0)</f>
        <v>0</v>
      </c>
      <c r="D56" s="126"/>
      <c r="E56" s="59"/>
      <c r="F56" s="60"/>
      <c r="G56" s="61"/>
      <c r="H56" s="61"/>
      <c r="I56" s="94"/>
      <c r="J56" s="60"/>
      <c r="K56" s="60"/>
      <c r="L56" s="60"/>
    </row>
    <row r="58" spans="2:15" ht="18.75" customHeight="1" x14ac:dyDescent="0.35">
      <c r="B58" s="22" t="s">
        <v>69</v>
      </c>
      <c r="C58" s="19"/>
      <c r="D58" s="19"/>
      <c r="E58" s="19"/>
      <c r="F58" s="23"/>
      <c r="G58" s="24"/>
      <c r="H58" s="24"/>
      <c r="I58" s="23"/>
      <c r="J58" s="23"/>
      <c r="K58" s="65"/>
    </row>
    <row r="59" spans="2:15" ht="31" x14ac:dyDescent="0.3">
      <c r="B59" s="7" t="s">
        <v>22</v>
      </c>
      <c r="C59" s="25" t="s">
        <v>48</v>
      </c>
      <c r="D59" s="25" t="s">
        <v>49</v>
      </c>
      <c r="F59" s="26" t="s">
        <v>25</v>
      </c>
      <c r="G59" s="27" t="s">
        <v>26</v>
      </c>
      <c r="I59" s="79"/>
      <c r="J59" s="79"/>
      <c r="K59" s="80"/>
      <c r="L59" s="79"/>
      <c r="M59" s="79"/>
    </row>
    <row r="60" spans="2:15" ht="18.75" customHeight="1" x14ac:dyDescent="0.35">
      <c r="B60" s="28" t="s">
        <v>69</v>
      </c>
      <c r="C60" s="29">
        <v>0</v>
      </c>
      <c r="D60" s="30">
        <f>C60*F60</f>
        <v>0</v>
      </c>
      <c r="F60" s="31">
        <v>1</v>
      </c>
      <c r="G60" s="32">
        <v>1</v>
      </c>
      <c r="I60" s="34"/>
      <c r="J60" s="23"/>
      <c r="K60" s="69"/>
      <c r="L60" s="23"/>
      <c r="M60" s="65"/>
      <c r="O60" s="81"/>
    </row>
    <row r="61" spans="2:15" ht="18.75" customHeight="1" x14ac:dyDescent="0.35">
      <c r="B61" s="41" t="s">
        <v>8</v>
      </c>
      <c r="C61" s="111">
        <f>SUM(C60:C60)*G60/$C$4</f>
        <v>0</v>
      </c>
      <c r="D61" s="111"/>
      <c r="E61" s="42"/>
      <c r="G61" s="43"/>
      <c r="H61" s="43"/>
      <c r="J61" s="23"/>
      <c r="K61" s="65"/>
    </row>
    <row r="62" spans="2:15" ht="18.75" customHeight="1" x14ac:dyDescent="0.35">
      <c r="B62" s="44" t="s">
        <v>42</v>
      </c>
      <c r="C62" s="111">
        <f>SUM(D60:D60)/$C$4</f>
        <v>0</v>
      </c>
      <c r="D62" s="111"/>
      <c r="E62" s="42"/>
      <c r="G62" s="43"/>
      <c r="H62" s="43"/>
      <c r="J62" s="23"/>
      <c r="K62" s="65"/>
    </row>
    <row r="63" spans="2:15" ht="18.75" customHeight="1" x14ac:dyDescent="0.35">
      <c r="B63" s="45"/>
      <c r="C63" s="45"/>
      <c r="D63" s="45"/>
      <c r="E63" s="45"/>
      <c r="F63" s="45"/>
      <c r="G63" s="45"/>
      <c r="H63" s="45"/>
      <c r="I63" s="45"/>
      <c r="J63" s="23"/>
      <c r="K63" s="65"/>
    </row>
    <row r="64" spans="2:15" ht="18.75" customHeight="1" x14ac:dyDescent="0.4">
      <c r="B64" s="62" t="s">
        <v>70</v>
      </c>
      <c r="C64" s="19"/>
      <c r="D64" s="19"/>
      <c r="E64" s="19"/>
      <c r="F64" s="23"/>
      <c r="G64" s="24"/>
      <c r="H64" s="24"/>
      <c r="I64" s="23"/>
      <c r="J64" s="23"/>
      <c r="K64" s="65"/>
    </row>
    <row r="65" spans="2:15" ht="31" x14ac:dyDescent="0.3">
      <c r="B65" s="7" t="s">
        <v>22</v>
      </c>
      <c r="C65" s="25" t="s">
        <v>48</v>
      </c>
      <c r="D65" s="25" t="s">
        <v>49</v>
      </c>
      <c r="F65" s="26" t="s">
        <v>25</v>
      </c>
      <c r="G65" s="27" t="s">
        <v>26</v>
      </c>
      <c r="I65" s="79"/>
      <c r="J65" s="79"/>
      <c r="K65" s="80"/>
      <c r="L65" s="79"/>
      <c r="M65" s="79"/>
    </row>
    <row r="66" spans="2:15" ht="18.75" customHeight="1" x14ac:dyDescent="0.35">
      <c r="B66" s="55" t="s">
        <v>70</v>
      </c>
      <c r="C66" s="29">
        <v>0</v>
      </c>
      <c r="D66" s="30">
        <f>C66*F66</f>
        <v>0</v>
      </c>
      <c r="F66" s="31"/>
      <c r="G66" s="32">
        <v>1</v>
      </c>
      <c r="I66" s="34"/>
      <c r="J66" s="23"/>
      <c r="K66" s="69"/>
      <c r="L66" s="23"/>
      <c r="M66" s="65"/>
      <c r="O66" s="81"/>
    </row>
    <row r="67" spans="2:15" ht="18.75" customHeight="1" x14ac:dyDescent="0.35">
      <c r="B67" s="41" t="s">
        <v>9</v>
      </c>
      <c r="C67" s="111">
        <f>SUM(C66:C66)*G66/$C$4</f>
        <v>0</v>
      </c>
      <c r="D67" s="111"/>
      <c r="E67" s="42"/>
      <c r="G67" s="43"/>
      <c r="H67" s="43"/>
      <c r="J67" s="23"/>
      <c r="K67" s="65"/>
    </row>
    <row r="68" spans="2:15" ht="18.75" customHeight="1" x14ac:dyDescent="0.35">
      <c r="B68" s="44" t="s">
        <v>42</v>
      </c>
      <c r="C68" s="111">
        <f>SUM(D66:D66)/$C$4</f>
        <v>0</v>
      </c>
      <c r="D68" s="111"/>
      <c r="E68" s="42"/>
      <c r="G68" s="43"/>
      <c r="H68" s="43"/>
      <c r="J68" s="23"/>
      <c r="K68" s="65"/>
    </row>
    <row r="69" spans="2:15" ht="18.75" customHeight="1" x14ac:dyDescent="0.35">
      <c r="B69" s="45"/>
      <c r="C69" s="45"/>
      <c r="D69" s="45"/>
      <c r="E69" s="45"/>
      <c r="F69" s="45"/>
      <c r="G69" s="45"/>
      <c r="H69" s="45"/>
      <c r="I69" s="45"/>
      <c r="J69" s="23"/>
      <c r="K69" s="65"/>
    </row>
    <row r="70" spans="2:15" x14ac:dyDescent="0.35">
      <c r="B70" s="95" t="s">
        <v>71</v>
      </c>
      <c r="C70" s="96"/>
      <c r="D70" s="96"/>
      <c r="E70" s="96"/>
      <c r="F70" s="97"/>
      <c r="G70" s="98"/>
      <c r="H70" s="99"/>
      <c r="I70" s="99"/>
      <c r="J70" s="99"/>
      <c r="K70" s="99"/>
      <c r="L70" s="99"/>
      <c r="M70" s="99"/>
      <c r="N70" s="99"/>
    </row>
    <row r="71" spans="2:15" ht="31" x14ac:dyDescent="0.35">
      <c r="B71" s="7" t="s">
        <v>22</v>
      </c>
      <c r="C71" s="25" t="s">
        <v>48</v>
      </c>
      <c r="D71" s="25" t="s">
        <v>49</v>
      </c>
      <c r="E71" s="100"/>
      <c r="F71" s="26" t="s">
        <v>25</v>
      </c>
      <c r="G71" s="27" t="s">
        <v>26</v>
      </c>
      <c r="H71" s="99"/>
      <c r="I71" s="99"/>
      <c r="J71" s="99"/>
      <c r="K71" s="99"/>
      <c r="L71" s="99"/>
      <c r="M71" s="99"/>
      <c r="N71" s="99"/>
    </row>
    <row r="72" spans="2:15" ht="20.25" customHeight="1" x14ac:dyDescent="0.35">
      <c r="B72" s="101" t="s">
        <v>2</v>
      </c>
      <c r="C72" s="102">
        <v>0</v>
      </c>
      <c r="D72" s="103">
        <f>C72*F72</f>
        <v>0</v>
      </c>
      <c r="E72" s="100"/>
      <c r="F72" s="104">
        <v>1</v>
      </c>
      <c r="G72" s="105">
        <v>1</v>
      </c>
      <c r="H72" s="99"/>
      <c r="I72" s="99"/>
      <c r="J72" s="99"/>
      <c r="K72" s="99"/>
      <c r="L72" s="99"/>
      <c r="M72" s="99"/>
      <c r="N72" s="99"/>
    </row>
    <row r="73" spans="2:15" ht="20.25" customHeight="1" x14ac:dyDescent="0.35">
      <c r="B73" s="106" t="s">
        <v>72</v>
      </c>
      <c r="C73" s="102">
        <f>18*10+30+60</f>
        <v>270</v>
      </c>
      <c r="D73" s="103"/>
      <c r="E73" s="100"/>
      <c r="F73" s="104"/>
      <c r="G73" s="105">
        <v>1</v>
      </c>
      <c r="H73" s="99"/>
      <c r="I73" s="99"/>
      <c r="J73" s="99"/>
      <c r="K73" s="99"/>
      <c r="L73" s="99"/>
      <c r="M73" s="99"/>
      <c r="N73" s="99"/>
    </row>
    <row r="74" spans="2:15" ht="20.25" customHeight="1" x14ac:dyDescent="0.35">
      <c r="B74" s="106" t="s">
        <v>11</v>
      </c>
      <c r="C74" s="102"/>
      <c r="D74" s="103"/>
      <c r="E74" s="100"/>
      <c r="F74" s="104"/>
      <c r="G74" s="105"/>
      <c r="H74" s="99"/>
      <c r="I74" s="99"/>
      <c r="J74" s="99"/>
      <c r="K74" s="99"/>
      <c r="L74" s="99"/>
      <c r="M74" s="99"/>
      <c r="N74" s="99"/>
    </row>
    <row r="75" spans="2:15" ht="20.25" customHeight="1" x14ac:dyDescent="0.35">
      <c r="B75" s="106" t="s">
        <v>73</v>
      </c>
      <c r="C75" s="102">
        <f>D75*G75/F75</f>
        <v>100</v>
      </c>
      <c r="D75" s="102">
        <v>50</v>
      </c>
      <c r="E75" s="100"/>
      <c r="F75" s="104">
        <v>1</v>
      </c>
      <c r="G75" s="105">
        <v>2</v>
      </c>
      <c r="H75" s="99"/>
      <c r="I75" s="99"/>
      <c r="J75" s="99"/>
      <c r="K75" s="99"/>
      <c r="L75" s="99"/>
      <c r="M75" s="99"/>
      <c r="N75" s="99"/>
    </row>
    <row r="76" spans="2:15" ht="20.25" customHeight="1" x14ac:dyDescent="0.35">
      <c r="B76" s="106" t="s">
        <v>74</v>
      </c>
      <c r="C76" s="102">
        <f>D75*G76/F75</f>
        <v>100</v>
      </c>
      <c r="D76" s="103"/>
      <c r="E76" s="100"/>
      <c r="F76" s="104"/>
      <c r="G76" s="105">
        <v>2</v>
      </c>
      <c r="H76" s="99"/>
      <c r="I76" s="99"/>
      <c r="J76" s="99"/>
      <c r="K76" s="99"/>
      <c r="L76" s="99"/>
      <c r="M76" s="99"/>
      <c r="N76" s="99"/>
    </row>
    <row r="77" spans="2:15" ht="20.25" customHeight="1" x14ac:dyDescent="0.35">
      <c r="B77" s="106" t="s">
        <v>75</v>
      </c>
      <c r="C77" s="102">
        <f>D75*G77/F75</f>
        <v>100</v>
      </c>
      <c r="D77" s="103"/>
      <c r="E77" s="100"/>
      <c r="F77" s="104"/>
      <c r="G77" s="105">
        <v>2</v>
      </c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41" t="s">
        <v>10</v>
      </c>
      <c r="C78" s="112">
        <f>SUM(C72:C77)</f>
        <v>570</v>
      </c>
      <c r="D78" s="113"/>
      <c r="E78" s="107"/>
      <c r="F78" s="100"/>
      <c r="G78" s="108"/>
      <c r="H78" s="99"/>
      <c r="I78" s="99"/>
      <c r="J78" s="99"/>
      <c r="K78" s="99"/>
      <c r="L78" s="99"/>
      <c r="M78" s="99"/>
      <c r="N78" s="99"/>
    </row>
    <row r="79" spans="2:15" ht="20.25" customHeight="1" x14ac:dyDescent="0.35">
      <c r="B79" s="109" t="s">
        <v>42</v>
      </c>
      <c r="C79" s="112">
        <f>SUM(D72:D77)</f>
        <v>50</v>
      </c>
      <c r="D79" s="113"/>
      <c r="E79" s="107"/>
      <c r="F79" s="100"/>
      <c r="G79" s="108"/>
      <c r="H79" s="99"/>
      <c r="I79" s="99"/>
      <c r="J79" s="99"/>
      <c r="K79" s="99"/>
      <c r="L79" s="99"/>
      <c r="M79" s="99"/>
      <c r="N79" s="99"/>
    </row>
  </sheetData>
  <mergeCells count="22">
    <mergeCell ref="C43:D43"/>
    <mergeCell ref="B1:F1"/>
    <mergeCell ref="C2:F2"/>
    <mergeCell ref="C20:D20"/>
    <mergeCell ref="C21:D21"/>
    <mergeCell ref="C22:D22"/>
    <mergeCell ref="C68:D68"/>
    <mergeCell ref="C78:D78"/>
    <mergeCell ref="C79:D79"/>
    <mergeCell ref="B3:B4"/>
    <mergeCell ref="C4:C5"/>
    <mergeCell ref="D4:D5"/>
    <mergeCell ref="B8:G9"/>
    <mergeCell ref="C55:D55"/>
    <mergeCell ref="C56:D56"/>
    <mergeCell ref="C61:D61"/>
    <mergeCell ref="C62:D62"/>
    <mergeCell ref="C67:D67"/>
    <mergeCell ref="C35:D35"/>
    <mergeCell ref="C36:D36"/>
    <mergeCell ref="C37:D37"/>
    <mergeCell ref="C42:D42"/>
  </mergeCells>
  <phoneticPr fontId="31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FFFF00"/>
  </sheetPr>
  <dimension ref="B1:O80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customWidth="1" outlineLevel="1"/>
    <col min="10" max="11" width="10.5" style="3" customWidth="1" outlineLevel="1"/>
    <col min="12" max="12" width="15.33203125" style="3" customWidth="1" outlineLevel="1"/>
    <col min="13" max="13" width="12.58203125" style="3" customWidth="1" outlineLevel="1"/>
    <col min="14" max="14" width="15.58203125" style="3" customWidth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x14ac:dyDescent="0.35">
      <c r="B2" s="7" t="s">
        <v>13</v>
      </c>
      <c r="C2" s="123" t="s">
        <v>83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4</v>
      </c>
      <c r="D4" s="118">
        <v>0.3</v>
      </c>
      <c r="E4" s="12">
        <f>K15</f>
        <v>376</v>
      </c>
      <c r="F4" s="12">
        <f>K16</f>
        <v>176</v>
      </c>
      <c r="L4" s="6"/>
      <c r="M4" s="8"/>
    </row>
    <row r="5" spans="2:14" ht="18.75" customHeight="1" x14ac:dyDescent="0.35">
      <c r="B5" s="11"/>
      <c r="C5" s="117"/>
      <c r="D5" s="118"/>
      <c r="E5" s="12">
        <f>K29</f>
        <v>540</v>
      </c>
      <c r="F5" s="12">
        <f>K30</f>
        <v>256</v>
      </c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C21+C36+C56+C79+C42+C62+C68</f>
        <v>261.25</v>
      </c>
      <c r="D6" s="15">
        <f>(C6-F6)/0.8</f>
        <v>276.5625</v>
      </c>
      <c r="E6" s="16" t="s">
        <v>20</v>
      </c>
      <c r="F6" s="17">
        <f>VLOOKUP(E6,$B$68:$C$82,2,0)</f>
        <v>40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C22+C37+C57+C80+C43+C63+C69</f>
        <v>138.25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 t="s">
        <v>82</v>
      </c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35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36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376</v>
      </c>
      <c r="L15" s="73">
        <v>5</v>
      </c>
      <c r="M15" s="74">
        <v>0.64400000000000002</v>
      </c>
    </row>
    <row r="16" spans="2:14" ht="18.75" customHeight="1" x14ac:dyDescent="0.35">
      <c r="B16" s="28" t="s">
        <v>36</v>
      </c>
      <c r="C16" s="29"/>
      <c r="D16" s="30">
        <v>36</v>
      </c>
      <c r="F16" s="31"/>
      <c r="G16" s="32">
        <v>1</v>
      </c>
      <c r="I16" s="70">
        <v>0.60099999999999998</v>
      </c>
      <c r="J16" s="71">
        <f>3600/I16/83000</f>
        <v>7.2168875167892901E-2</v>
      </c>
      <c r="K16" s="72">
        <v>176</v>
      </c>
      <c r="L16" s="73">
        <v>5</v>
      </c>
      <c r="M16" s="74">
        <v>0.35599999999999998</v>
      </c>
    </row>
    <row r="17" spans="2:13" ht="18.75" customHeight="1" x14ac:dyDescent="0.35">
      <c r="B17" s="28" t="s">
        <v>37</v>
      </c>
      <c r="C17" s="29"/>
      <c r="D17" s="30">
        <f>($D$4+0.15)/0.95*60</f>
        <v>28.421052631578899</v>
      </c>
      <c r="F17" s="31">
        <v>1</v>
      </c>
      <c r="G17" s="32"/>
      <c r="I17" s="75"/>
      <c r="J17" s="76"/>
      <c r="K17" s="4"/>
      <c r="L17" s="77"/>
      <c r="M17" s="65"/>
    </row>
    <row r="18" spans="2:13" ht="18.75" customHeight="1" x14ac:dyDescent="0.35">
      <c r="B18" s="28" t="s">
        <v>38</v>
      </c>
      <c r="C18" s="29"/>
      <c r="D18" s="30">
        <v>35</v>
      </c>
      <c r="F18" s="31"/>
      <c r="G18" s="32"/>
      <c r="I18" s="73" t="s">
        <v>39</v>
      </c>
      <c r="J18" s="78">
        <f>SUM(D15:D16)/(MAX(D15:D16)*COUNT(D15:D16))</f>
        <v>1</v>
      </c>
      <c r="K18" s="4"/>
      <c r="L18" s="23"/>
      <c r="M18" s="65"/>
    </row>
    <row r="19" spans="2:13" ht="18.75" customHeight="1" x14ac:dyDescent="0.35">
      <c r="B19" s="28" t="s">
        <v>40</v>
      </c>
      <c r="C19" s="29">
        <v>30</v>
      </c>
      <c r="D19" s="30"/>
      <c r="E19" s="34"/>
      <c r="F19" s="35"/>
      <c r="G19" s="36">
        <v>1</v>
      </c>
      <c r="H19" s="18"/>
      <c r="I19" s="23"/>
      <c r="J19" s="23"/>
      <c r="K19" s="65"/>
    </row>
    <row r="20" spans="2:13" ht="18.75" customHeight="1" x14ac:dyDescent="0.35">
      <c r="B20" s="37" t="s">
        <v>41</v>
      </c>
      <c r="C20" s="120">
        <f>MAX(D12:D19)</f>
        <v>36</v>
      </c>
      <c r="D20" s="120"/>
      <c r="E20" s="38"/>
      <c r="F20" s="31">
        <f>SUM(F12:F19)</f>
        <v>3</v>
      </c>
      <c r="G20" s="39">
        <f>SUM(G12:G19)</f>
        <v>5</v>
      </c>
      <c r="H20" s="40"/>
      <c r="I20" s="23"/>
      <c r="J20" s="23"/>
      <c r="K20" s="65"/>
    </row>
    <row r="21" spans="2:13" ht="18.75" customHeight="1" x14ac:dyDescent="0.35">
      <c r="B21" s="41" t="s">
        <v>4</v>
      </c>
      <c r="C21" s="111">
        <f>C20*G20/$C$4</f>
        <v>45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4" t="s">
        <v>42</v>
      </c>
      <c r="C22" s="111">
        <f>C20*F20/$C$4</f>
        <v>27</v>
      </c>
      <c r="D22" s="111"/>
      <c r="E22" s="42"/>
      <c r="G22" s="3"/>
      <c r="H22" s="43"/>
      <c r="J22" s="23"/>
      <c r="K22" s="65"/>
    </row>
    <row r="23" spans="2:13" ht="18.75" customHeight="1" x14ac:dyDescent="0.35">
      <c r="B23" s="45"/>
      <c r="C23" s="45"/>
      <c r="D23" s="45"/>
      <c r="E23" s="45"/>
      <c r="F23" s="45"/>
      <c r="G23" s="45"/>
      <c r="H23" s="45"/>
      <c r="I23" s="45"/>
      <c r="J23" s="23"/>
      <c r="K23" s="65"/>
    </row>
    <row r="24" spans="2:13" ht="18.75" customHeight="1" x14ac:dyDescent="0.35">
      <c r="B24" s="22" t="s">
        <v>43</v>
      </c>
      <c r="C24" s="19"/>
      <c r="D24" s="19"/>
      <c r="E24" s="19"/>
      <c r="F24" s="23"/>
      <c r="G24" s="24"/>
      <c r="H24" s="24"/>
      <c r="I24" s="23"/>
      <c r="J24" s="23"/>
      <c r="K24" s="65"/>
    </row>
    <row r="25" spans="2:13" ht="31" x14ac:dyDescent="0.3">
      <c r="B25" s="7" t="s">
        <v>22</v>
      </c>
      <c r="C25" s="25" t="s">
        <v>23</v>
      </c>
      <c r="D25" s="25" t="s">
        <v>24</v>
      </c>
      <c r="F25" s="26" t="s">
        <v>25</v>
      </c>
      <c r="G25" s="27" t="s">
        <v>26</v>
      </c>
      <c r="I25" s="66" t="s">
        <v>27</v>
      </c>
      <c r="J25" s="67" t="s">
        <v>28</v>
      </c>
      <c r="K25" s="68" t="s">
        <v>29</v>
      </c>
      <c r="L25" s="66" t="s">
        <v>30</v>
      </c>
      <c r="M25" s="66" t="s">
        <v>31</v>
      </c>
    </row>
    <row r="26" spans="2:13" ht="18.75" customHeight="1" x14ac:dyDescent="0.35">
      <c r="B26" s="28" t="s">
        <v>32</v>
      </c>
      <c r="C26" s="29">
        <v>30</v>
      </c>
      <c r="D26" s="30"/>
      <c r="F26" s="31"/>
      <c r="G26" s="32">
        <v>1</v>
      </c>
      <c r="I26" s="34"/>
      <c r="J26" s="23"/>
      <c r="K26" s="69"/>
      <c r="L26" s="23"/>
      <c r="M26" s="65"/>
    </row>
    <row r="27" spans="2:13" ht="18.75" customHeight="1" x14ac:dyDescent="0.35">
      <c r="B27" s="28" t="s">
        <v>33</v>
      </c>
      <c r="C27" s="29"/>
      <c r="D27" s="33">
        <v>35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34</v>
      </c>
      <c r="C28" s="29"/>
      <c r="D28" s="30">
        <v>30</v>
      </c>
      <c r="F28" s="31"/>
      <c r="G28" s="32"/>
      <c r="I28" s="34"/>
      <c r="J28" s="23"/>
      <c r="K28" s="69"/>
      <c r="L28" s="23"/>
      <c r="M28" s="65"/>
    </row>
    <row r="29" spans="2:13" ht="18.75" customHeight="1" x14ac:dyDescent="0.35">
      <c r="B29" s="28" t="s">
        <v>44</v>
      </c>
      <c r="C29" s="29"/>
      <c r="D29" s="30">
        <v>45</v>
      </c>
      <c r="F29" s="31">
        <v>1</v>
      </c>
      <c r="G29" s="32">
        <v>1</v>
      </c>
      <c r="I29" s="70">
        <v>0.63</v>
      </c>
      <c r="J29" s="71">
        <f>3600/I29/150000</f>
        <v>3.8095238095238099E-2</v>
      </c>
      <c r="K29" s="72">
        <v>540</v>
      </c>
      <c r="L29" s="73">
        <v>5</v>
      </c>
      <c r="M29" s="74">
        <v>0.64400000000000002</v>
      </c>
    </row>
    <row r="30" spans="2:13" ht="18.75" customHeight="1" x14ac:dyDescent="0.35">
      <c r="B30" s="28" t="s">
        <v>45</v>
      </c>
      <c r="C30" s="29"/>
      <c r="D30" s="30">
        <v>45</v>
      </c>
      <c r="F30" s="31">
        <v>1</v>
      </c>
      <c r="G30" s="32">
        <v>1</v>
      </c>
      <c r="I30" s="70">
        <v>0.60099999999999998</v>
      </c>
      <c r="J30" s="71">
        <f>3600/I30/83000</f>
        <v>7.2168875167892901E-2</v>
      </c>
      <c r="K30" s="72">
        <v>256</v>
      </c>
      <c r="L30" s="73">
        <v>5</v>
      </c>
      <c r="M30" s="74">
        <v>0.35599999999999998</v>
      </c>
    </row>
    <row r="31" spans="2:13" ht="18.75" customHeight="1" x14ac:dyDescent="0.35">
      <c r="B31" s="28" t="s">
        <v>37</v>
      </c>
      <c r="C31" s="29"/>
      <c r="D31" s="30">
        <f>($D$4+0.15)/0.95*60</f>
        <v>28.421052631578899</v>
      </c>
      <c r="F31" s="31">
        <v>1</v>
      </c>
      <c r="G31" s="32"/>
      <c r="I31" s="75"/>
      <c r="J31" s="76"/>
      <c r="K31" s="4"/>
      <c r="L31" s="77"/>
      <c r="M31" s="65"/>
    </row>
    <row r="32" spans="2:13" ht="18.75" customHeight="1" x14ac:dyDescent="0.35">
      <c r="B32" s="28" t="s">
        <v>38</v>
      </c>
      <c r="C32" s="29"/>
      <c r="D32" s="30">
        <v>35</v>
      </c>
      <c r="F32" s="31">
        <v>1</v>
      </c>
      <c r="G32" s="32"/>
      <c r="I32" s="73" t="s">
        <v>39</v>
      </c>
      <c r="J32" s="78">
        <f>SUM(D29:D30)/(MAX(D29:D30)*COUNT(D29:D30))</f>
        <v>1</v>
      </c>
      <c r="K32" s="4"/>
      <c r="L32" s="23"/>
      <c r="M32" s="65"/>
    </row>
    <row r="33" spans="2:15" ht="18.75" customHeight="1" x14ac:dyDescent="0.35">
      <c r="B33" s="28" t="s">
        <v>46</v>
      </c>
      <c r="C33" s="29">
        <v>30</v>
      </c>
      <c r="D33" s="30"/>
      <c r="E33" s="34"/>
      <c r="F33" s="35"/>
      <c r="G33" s="36">
        <v>1</v>
      </c>
      <c r="H33" s="18"/>
      <c r="I33" s="23"/>
      <c r="J33" s="23"/>
      <c r="K33" s="65"/>
    </row>
    <row r="34" spans="2:15" ht="18.75" customHeight="1" x14ac:dyDescent="0.35">
      <c r="B34" s="28" t="s">
        <v>40</v>
      </c>
      <c r="C34" s="29">
        <v>30</v>
      </c>
      <c r="D34" s="30"/>
      <c r="E34" s="34"/>
      <c r="F34" s="35"/>
      <c r="G34" s="36">
        <v>1</v>
      </c>
      <c r="H34" s="18"/>
      <c r="I34" s="23"/>
      <c r="J34" s="23"/>
      <c r="K34" s="65"/>
    </row>
    <row r="35" spans="2:15" ht="18.75" customHeight="1" x14ac:dyDescent="0.35">
      <c r="B35" s="37" t="s">
        <v>41</v>
      </c>
      <c r="C35" s="120">
        <f>MAX(D26:D34)</f>
        <v>45</v>
      </c>
      <c r="D35" s="120"/>
      <c r="E35" s="38"/>
      <c r="F35" s="31">
        <f>SUM(F26:F34)</f>
        <v>5</v>
      </c>
      <c r="G35" s="39">
        <f>SUM(G26:G34)</f>
        <v>5</v>
      </c>
      <c r="H35" s="40"/>
      <c r="I35" s="23"/>
      <c r="J35" s="23"/>
      <c r="K35" s="65"/>
    </row>
    <row r="36" spans="2:15" ht="18.75" customHeight="1" x14ac:dyDescent="0.35">
      <c r="B36" s="41" t="s">
        <v>5</v>
      </c>
      <c r="C36" s="111">
        <f>C35*G35/$C$4</f>
        <v>56.25</v>
      </c>
      <c r="D36" s="111"/>
      <c r="E36" s="42"/>
      <c r="G36" s="3"/>
      <c r="H36" s="43"/>
      <c r="J36" s="23"/>
      <c r="K36" s="65"/>
    </row>
    <row r="37" spans="2:15" ht="18.75" customHeight="1" x14ac:dyDescent="0.35">
      <c r="B37" s="41" t="s">
        <v>42</v>
      </c>
      <c r="C37" s="111">
        <f>C35*F35/$C$4</f>
        <v>56.25</v>
      </c>
      <c r="D37" s="111"/>
      <c r="E37" s="42"/>
      <c r="G37" s="3"/>
      <c r="H37" s="43"/>
      <c r="J37" s="23"/>
      <c r="K37" s="65"/>
    </row>
    <row r="38" spans="2:15" ht="18.75" customHeight="1" x14ac:dyDescent="0.35">
      <c r="B38" s="45"/>
      <c r="C38" s="45"/>
      <c r="D38" s="45"/>
      <c r="E38" s="45"/>
      <c r="F38" s="45"/>
      <c r="G38" s="45"/>
      <c r="H38" s="45"/>
      <c r="I38" s="45"/>
      <c r="J38" s="23"/>
      <c r="K38" s="65"/>
    </row>
    <row r="39" spans="2:15" ht="18.75" customHeight="1" x14ac:dyDescent="0.35">
      <c r="B39" s="22" t="s">
        <v>47</v>
      </c>
      <c r="C39" s="19"/>
      <c r="D39" s="19"/>
      <c r="E39" s="19"/>
      <c r="F39" s="23"/>
      <c r="G39" s="24"/>
      <c r="H39" s="24"/>
      <c r="I39" s="23"/>
      <c r="J39" s="23"/>
      <c r="K39" s="65"/>
    </row>
    <row r="40" spans="2:15" ht="31" x14ac:dyDescent="0.3">
      <c r="B40" s="7" t="s">
        <v>22</v>
      </c>
      <c r="C40" s="25" t="s">
        <v>48</v>
      </c>
      <c r="D40" s="25" t="s">
        <v>49</v>
      </c>
      <c r="F40" s="26" t="s">
        <v>25</v>
      </c>
      <c r="G40" s="27" t="s">
        <v>26</v>
      </c>
      <c r="I40" s="79"/>
      <c r="J40" s="79"/>
      <c r="K40" s="80"/>
      <c r="L40" s="79"/>
      <c r="M40" s="79"/>
    </row>
    <row r="41" spans="2:15" ht="18.75" customHeight="1" x14ac:dyDescent="0.35">
      <c r="B41" s="28" t="s">
        <v>47</v>
      </c>
      <c r="C41" s="29">
        <v>120</v>
      </c>
      <c r="D41" s="30">
        <f>C41*F41/G41</f>
        <v>0</v>
      </c>
      <c r="F41" s="31"/>
      <c r="G41" s="32">
        <v>1</v>
      </c>
      <c r="I41" s="34"/>
      <c r="J41" s="23"/>
      <c r="K41" s="69"/>
      <c r="L41" s="23"/>
      <c r="M41" s="65"/>
      <c r="O41" s="81"/>
    </row>
    <row r="42" spans="2:15" ht="18.75" customHeight="1" x14ac:dyDescent="0.35">
      <c r="B42" s="41" t="s">
        <v>7</v>
      </c>
      <c r="C42" s="111">
        <f>SUM(C41:C41)/$C$4</f>
        <v>30</v>
      </c>
      <c r="D42" s="111"/>
      <c r="E42" s="42"/>
      <c r="G42" s="43"/>
      <c r="H42" s="43"/>
      <c r="J42" s="23"/>
      <c r="K42" s="65"/>
    </row>
    <row r="43" spans="2:15" ht="18.75" customHeight="1" x14ac:dyDescent="0.35">
      <c r="B43" s="44" t="s">
        <v>42</v>
      </c>
      <c r="C43" s="111">
        <f>SUM(D41:D41)/$C$4</f>
        <v>0</v>
      </c>
      <c r="D43" s="111"/>
      <c r="E43" s="42"/>
      <c r="G43" s="43"/>
      <c r="H43" s="43"/>
      <c r="J43" s="23"/>
      <c r="K43" s="65"/>
    </row>
    <row r="44" spans="2:15" ht="18.75" customHeight="1" x14ac:dyDescent="0.35">
      <c r="B44" s="45"/>
      <c r="C44" s="45"/>
      <c r="D44" s="45"/>
      <c r="E44" s="45"/>
      <c r="F44" s="45"/>
      <c r="G44" s="45"/>
      <c r="H44" s="45"/>
      <c r="I44" s="45"/>
      <c r="J44" s="23"/>
      <c r="K44" s="65"/>
    </row>
    <row r="45" spans="2:15" s="2" customFormat="1" ht="18.75" customHeight="1" x14ac:dyDescent="0.45">
      <c r="B45" s="46" t="s">
        <v>50</v>
      </c>
      <c r="C45" s="47"/>
      <c r="D45" s="48"/>
      <c r="E45" s="48"/>
      <c r="F45" s="48"/>
      <c r="G45" s="49"/>
      <c r="H45" s="49"/>
      <c r="I45" s="82"/>
      <c r="J45" s="48"/>
      <c r="K45" s="48"/>
      <c r="L45" s="48"/>
    </row>
    <row r="46" spans="2:15" s="2" customFormat="1" ht="37" x14ac:dyDescent="0.3">
      <c r="B46" s="7" t="s">
        <v>22</v>
      </c>
      <c r="C46" s="25" t="s">
        <v>51</v>
      </c>
      <c r="D46" s="25" t="s">
        <v>52</v>
      </c>
      <c r="F46" s="50" t="s">
        <v>25</v>
      </c>
      <c r="G46" s="51" t="s">
        <v>26</v>
      </c>
      <c r="H46" s="52"/>
      <c r="I46" s="83"/>
      <c r="J46" s="84" t="s">
        <v>53</v>
      </c>
      <c r="K46" s="85" t="s">
        <v>54</v>
      </c>
      <c r="L46" s="84" t="s">
        <v>55</v>
      </c>
      <c r="M46" s="84" t="s">
        <v>56</v>
      </c>
      <c r="N46" s="84" t="s">
        <v>57</v>
      </c>
    </row>
    <row r="47" spans="2:15" s="2" customFormat="1" ht="18.75" customHeight="1" x14ac:dyDescent="0.45">
      <c r="B47" s="28" t="s">
        <v>58</v>
      </c>
      <c r="C47" s="29"/>
      <c r="D47" s="29">
        <f>C47/L47</f>
        <v>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0</v>
      </c>
      <c r="N47" s="91"/>
    </row>
    <row r="48" spans="2:15" s="2" customFormat="1" ht="18.75" customHeight="1" x14ac:dyDescent="0.45">
      <c r="B48" s="28" t="s">
        <v>60</v>
      </c>
      <c r="C48" s="29"/>
      <c r="D48" s="29" t="e">
        <f>C48/L48</f>
        <v>#DIV/0!</v>
      </c>
      <c r="F48" s="53"/>
      <c r="G48" s="54" t="e">
        <f>L48</f>
        <v>#DIV/0!</v>
      </c>
      <c r="H48" s="52"/>
      <c r="I48" s="86" t="s">
        <v>59</v>
      </c>
      <c r="J48" s="87" t="e">
        <f>ROUNDUP(C48/$C$50,0)</f>
        <v>#DIV/0!</v>
      </c>
      <c r="K48" s="88">
        <f>5*4</f>
        <v>20</v>
      </c>
      <c r="L48" s="89" t="e">
        <f>IF(J48&gt;10,10,J48)</f>
        <v>#DIV/0!</v>
      </c>
      <c r="M48" s="90" t="e">
        <f>C48/L48</f>
        <v>#DIV/0!</v>
      </c>
      <c r="N48" s="91">
        <v>1</v>
      </c>
    </row>
    <row r="49" spans="2:15" s="2" customFormat="1" ht="18.75" customHeight="1" x14ac:dyDescent="0.45">
      <c r="B49" s="55" t="s">
        <v>61</v>
      </c>
      <c r="C49" s="29"/>
      <c r="D49" s="29">
        <f>C49/L49</f>
        <v>0</v>
      </c>
      <c r="F49" s="53"/>
      <c r="G49" s="54">
        <f>L49</f>
        <v>1</v>
      </c>
      <c r="H49" s="52"/>
      <c r="I49" s="86" t="s">
        <v>59</v>
      </c>
      <c r="J49" s="87">
        <v>1</v>
      </c>
      <c r="K49" s="88"/>
      <c r="L49" s="89">
        <v>1</v>
      </c>
      <c r="M49" s="90">
        <f>C49/L49</f>
        <v>0</v>
      </c>
      <c r="N49" s="91"/>
    </row>
    <row r="50" spans="2:15" s="2" customFormat="1" ht="18.75" customHeight="1" x14ac:dyDescent="0.45">
      <c r="B50" s="28" t="s">
        <v>62</v>
      </c>
      <c r="C50" s="29"/>
      <c r="D50" s="29">
        <f>C50</f>
        <v>0</v>
      </c>
      <c r="F50" s="53">
        <v>1</v>
      </c>
      <c r="G50" s="54">
        <f t="shared" ref="G50:G51" si="0">L50</f>
        <v>0</v>
      </c>
      <c r="H50" s="52"/>
      <c r="I50" s="86"/>
      <c r="J50" s="87"/>
      <c r="K50" s="88"/>
      <c r="L50" s="89"/>
      <c r="M50" s="90">
        <f>D50</f>
        <v>0</v>
      </c>
      <c r="N50" s="91"/>
    </row>
    <row r="51" spans="2:15" s="2" customFormat="1" ht="18.75" customHeight="1" x14ac:dyDescent="0.45">
      <c r="B51" s="56" t="s">
        <v>63</v>
      </c>
      <c r="C51" s="29"/>
      <c r="D51" s="29">
        <f>C51/G51</f>
        <v>0</v>
      </c>
      <c r="F51" s="53"/>
      <c r="G51" s="54">
        <f t="shared" si="0"/>
        <v>1</v>
      </c>
      <c r="H51" s="52"/>
      <c r="I51" s="86" t="s">
        <v>59</v>
      </c>
      <c r="J51" s="87" t="e">
        <f>ROUNDUP(C51/$C$50,0)</f>
        <v>#DIV/0!</v>
      </c>
      <c r="K51" s="88"/>
      <c r="L51" s="89">
        <v>1</v>
      </c>
      <c r="M51" s="90">
        <f>C51/L51</f>
        <v>0</v>
      </c>
      <c r="N51" s="91"/>
    </row>
    <row r="52" spans="2:15" s="2" customFormat="1" ht="18.75" customHeight="1" x14ac:dyDescent="0.45">
      <c r="B52" s="28" t="s">
        <v>64</v>
      </c>
      <c r="C52" s="29"/>
      <c r="D52" s="29">
        <f t="shared" ref="D52:D55" si="1">C52/G52</f>
        <v>0</v>
      </c>
      <c r="F52" s="53"/>
      <c r="G52" s="54">
        <v>1</v>
      </c>
      <c r="H52" s="52"/>
      <c r="I52" s="86" t="s">
        <v>59</v>
      </c>
      <c r="J52" s="87" t="e">
        <f>ROUNDUP(C52/$C$50,0)</f>
        <v>#DIV/0!</v>
      </c>
      <c r="K52" s="88"/>
      <c r="L52" s="89">
        <v>1</v>
      </c>
      <c r="M52" s="90">
        <f t="shared" ref="M52:M55" si="2">C52/L52</f>
        <v>0</v>
      </c>
      <c r="N52" s="91"/>
    </row>
    <row r="53" spans="2:15" s="2" customFormat="1" ht="18.75" customHeight="1" x14ac:dyDescent="0.45">
      <c r="B53" s="28" t="s">
        <v>65</v>
      </c>
      <c r="C53" s="29"/>
      <c r="D53" s="29">
        <f t="shared" si="1"/>
        <v>0</v>
      </c>
      <c r="F53" s="53"/>
      <c r="G53" s="54">
        <v>1</v>
      </c>
      <c r="H53" s="52"/>
      <c r="I53" s="86" t="s">
        <v>59</v>
      </c>
      <c r="J53" s="87" t="e">
        <f>ROUNDUP(C53/$C$50,0)</f>
        <v>#DIV/0!</v>
      </c>
      <c r="K53" s="88"/>
      <c r="L53" s="89">
        <v>1</v>
      </c>
      <c r="M53" s="90">
        <f t="shared" si="2"/>
        <v>0</v>
      </c>
      <c r="N53" s="91"/>
    </row>
    <row r="54" spans="2:15" s="2" customFormat="1" ht="18.75" customHeight="1" x14ac:dyDescent="0.45">
      <c r="B54" s="28" t="s">
        <v>66</v>
      </c>
      <c r="C54" s="29"/>
      <c r="D54" s="29">
        <f t="shared" si="1"/>
        <v>0</v>
      </c>
      <c r="F54" s="53"/>
      <c r="G54" s="54">
        <v>1</v>
      </c>
      <c r="H54" s="52"/>
      <c r="I54" s="86" t="s">
        <v>59</v>
      </c>
      <c r="J54" s="87" t="e">
        <f>ROUNDUP(C54/$C$50,0)</f>
        <v>#DIV/0!</v>
      </c>
      <c r="K54" s="88"/>
      <c r="L54" s="89">
        <v>1</v>
      </c>
      <c r="M54" s="90">
        <f t="shared" si="2"/>
        <v>0</v>
      </c>
      <c r="N54" s="91"/>
    </row>
    <row r="55" spans="2:15" s="2" customFormat="1" ht="18.75" customHeight="1" x14ac:dyDescent="0.45">
      <c r="B55" s="28" t="s">
        <v>67</v>
      </c>
      <c r="C55" s="29"/>
      <c r="D55" s="29">
        <f t="shared" si="1"/>
        <v>0</v>
      </c>
      <c r="F55" s="53"/>
      <c r="G55" s="54">
        <v>2</v>
      </c>
      <c r="H55" s="52"/>
      <c r="I55" s="86" t="s">
        <v>59</v>
      </c>
      <c r="J55" s="87" t="e">
        <f>ROUNDUP(C55/$C$50,0)</f>
        <v>#DIV/0!</v>
      </c>
      <c r="K55" s="88"/>
      <c r="L55" s="89">
        <v>4</v>
      </c>
      <c r="M55" s="90">
        <f t="shared" si="2"/>
        <v>0</v>
      </c>
      <c r="N55" s="91"/>
    </row>
    <row r="56" spans="2:15" s="2" customFormat="1" ht="18.75" customHeight="1" x14ac:dyDescent="0.45">
      <c r="B56" s="41" t="s">
        <v>6</v>
      </c>
      <c r="C56" s="111"/>
      <c r="D56" s="111"/>
      <c r="E56" s="57"/>
      <c r="F56" s="2">
        <f>SUM(F47:F55)</f>
        <v>1</v>
      </c>
      <c r="G56" s="2" t="e">
        <f>SUM(G47:G55)</f>
        <v>#DIV/0!</v>
      </c>
      <c r="H56" s="52"/>
      <c r="I56" s="86" t="s">
        <v>68</v>
      </c>
      <c r="J56" s="87" t="e">
        <f>SUM(J47:J55)</f>
        <v>#DIV/0!</v>
      </c>
      <c r="K56" s="88"/>
      <c r="L56" s="92" t="e">
        <f>SUM(L47:L55)</f>
        <v>#DIV/0!</v>
      </c>
      <c r="M56" s="93" t="e">
        <f>MAX(M47:M55)*L56</f>
        <v>#DIV/0!</v>
      </c>
      <c r="N56" s="89"/>
    </row>
    <row r="57" spans="2:15" s="2" customFormat="1" ht="18.75" customHeight="1" x14ac:dyDescent="0.45">
      <c r="B57" s="58" t="s">
        <v>42</v>
      </c>
      <c r="C57" s="111"/>
      <c r="D57" s="111"/>
      <c r="E57" s="59"/>
      <c r="F57" s="60"/>
      <c r="G57" s="61"/>
      <c r="H57" s="61"/>
      <c r="I57" s="94"/>
      <c r="J57" s="60"/>
      <c r="K57" s="60"/>
      <c r="L57" s="60"/>
    </row>
    <row r="59" spans="2:15" ht="18.75" customHeight="1" x14ac:dyDescent="0.35">
      <c r="B59" s="22" t="s">
        <v>69</v>
      </c>
      <c r="C59" s="19"/>
      <c r="D59" s="19"/>
      <c r="E59" s="19"/>
      <c r="F59" s="23"/>
      <c r="G59" s="24"/>
      <c r="H59" s="24"/>
      <c r="I59" s="23"/>
      <c r="J59" s="23"/>
      <c r="K59" s="65"/>
    </row>
    <row r="60" spans="2:15" ht="31" x14ac:dyDescent="0.3">
      <c r="B60" s="7" t="s">
        <v>22</v>
      </c>
      <c r="C60" s="25" t="s">
        <v>48</v>
      </c>
      <c r="D60" s="25" t="s">
        <v>49</v>
      </c>
      <c r="F60" s="26" t="s">
        <v>25</v>
      </c>
      <c r="G60" s="27" t="s">
        <v>26</v>
      </c>
      <c r="I60" s="79"/>
      <c r="J60" s="79"/>
      <c r="K60" s="80"/>
      <c r="L60" s="79"/>
      <c r="M60" s="79"/>
    </row>
    <row r="61" spans="2:15" ht="18.75" customHeight="1" x14ac:dyDescent="0.35">
      <c r="B61" s="28" t="s">
        <v>69</v>
      </c>
      <c r="C61" s="29">
        <v>0</v>
      </c>
      <c r="D61" s="30">
        <f>C61*F61</f>
        <v>0</v>
      </c>
      <c r="F61" s="31">
        <v>1</v>
      </c>
      <c r="G61" s="32">
        <v>1</v>
      </c>
      <c r="I61" s="34"/>
      <c r="J61" s="23"/>
      <c r="K61" s="69"/>
      <c r="L61" s="23"/>
      <c r="M61" s="65"/>
      <c r="O61" s="81"/>
    </row>
    <row r="62" spans="2:15" ht="18.75" customHeight="1" x14ac:dyDescent="0.35">
      <c r="B62" s="41" t="s">
        <v>8</v>
      </c>
      <c r="C62" s="111">
        <f>SUM(C61:C61)*G61/$C$4</f>
        <v>0</v>
      </c>
      <c r="D62" s="111"/>
      <c r="E62" s="42"/>
      <c r="G62" s="43"/>
      <c r="H62" s="43"/>
      <c r="J62" s="23"/>
      <c r="K62" s="65"/>
    </row>
    <row r="63" spans="2:15" ht="18.75" customHeight="1" x14ac:dyDescent="0.35">
      <c r="B63" s="44" t="s">
        <v>42</v>
      </c>
      <c r="C63" s="111">
        <f>SUM(D61:D61)/$C$4</f>
        <v>0</v>
      </c>
      <c r="D63" s="111"/>
      <c r="E63" s="42"/>
      <c r="G63" s="43"/>
      <c r="H63" s="43"/>
      <c r="J63" s="23"/>
      <c r="K63" s="65"/>
    </row>
    <row r="64" spans="2:15" ht="18.75" customHeight="1" x14ac:dyDescent="0.35">
      <c r="B64" s="45"/>
      <c r="C64" s="45"/>
      <c r="D64" s="45"/>
      <c r="E64" s="45"/>
      <c r="F64" s="45"/>
      <c r="G64" s="45"/>
      <c r="H64" s="45"/>
      <c r="I64" s="45"/>
      <c r="J64" s="23"/>
      <c r="K64" s="65"/>
    </row>
    <row r="65" spans="2:15" ht="18.75" customHeight="1" x14ac:dyDescent="0.4">
      <c r="B65" s="62" t="s">
        <v>70</v>
      </c>
      <c r="C65" s="19"/>
      <c r="D65" s="19"/>
      <c r="E65" s="19"/>
      <c r="F65" s="23"/>
      <c r="G65" s="24"/>
      <c r="H65" s="24"/>
      <c r="I65" s="23"/>
      <c r="J65" s="23"/>
      <c r="K65" s="65"/>
    </row>
    <row r="66" spans="2:15" ht="31" x14ac:dyDescent="0.3">
      <c r="B66" s="7" t="s">
        <v>22</v>
      </c>
      <c r="C66" s="25" t="s">
        <v>48</v>
      </c>
      <c r="D66" s="25" t="s">
        <v>49</v>
      </c>
      <c r="F66" s="26" t="s">
        <v>25</v>
      </c>
      <c r="G66" s="27" t="s">
        <v>26</v>
      </c>
      <c r="I66" s="79"/>
      <c r="J66" s="79"/>
      <c r="K66" s="80"/>
      <c r="L66" s="79"/>
      <c r="M66" s="79"/>
    </row>
    <row r="67" spans="2:15" ht="18.75" customHeight="1" x14ac:dyDescent="0.35">
      <c r="B67" s="55" t="s">
        <v>70</v>
      </c>
      <c r="C67" s="29">
        <v>0</v>
      </c>
      <c r="D67" s="30">
        <f>C67*F67</f>
        <v>0</v>
      </c>
      <c r="F67" s="31"/>
      <c r="G67" s="32">
        <v>1</v>
      </c>
      <c r="I67" s="34"/>
      <c r="J67" s="23"/>
      <c r="K67" s="69"/>
      <c r="L67" s="23"/>
      <c r="M67" s="65"/>
      <c r="O67" s="81"/>
    </row>
    <row r="68" spans="2:15" ht="18.75" customHeight="1" x14ac:dyDescent="0.35">
      <c r="B68" s="41" t="s">
        <v>9</v>
      </c>
      <c r="C68" s="111">
        <f>SUM(C67:C67)*G67/$C$4</f>
        <v>0</v>
      </c>
      <c r="D68" s="111"/>
      <c r="E68" s="42"/>
      <c r="G68" s="43"/>
      <c r="H68" s="43"/>
      <c r="J68" s="23"/>
      <c r="K68" s="65"/>
    </row>
    <row r="69" spans="2:15" ht="18.75" customHeight="1" x14ac:dyDescent="0.35">
      <c r="B69" s="44" t="s">
        <v>42</v>
      </c>
      <c r="C69" s="111">
        <f>SUM(D67:D67)/$C$4</f>
        <v>0</v>
      </c>
      <c r="D69" s="111"/>
      <c r="E69" s="42"/>
      <c r="G69" s="43"/>
      <c r="H69" s="43"/>
      <c r="J69" s="23"/>
      <c r="K69" s="65"/>
    </row>
    <row r="70" spans="2:15" ht="18.75" customHeight="1" x14ac:dyDescent="0.35">
      <c r="B70" s="45"/>
      <c r="C70" s="45"/>
      <c r="D70" s="45"/>
      <c r="E70" s="45"/>
      <c r="F70" s="45"/>
      <c r="G70" s="45"/>
      <c r="H70" s="45"/>
      <c r="I70" s="45"/>
      <c r="J70" s="23"/>
      <c r="K70" s="65"/>
    </row>
    <row r="71" spans="2:15" x14ac:dyDescent="0.35">
      <c r="B71" s="95" t="s">
        <v>71</v>
      </c>
      <c r="C71" s="96"/>
      <c r="D71" s="96"/>
      <c r="E71" s="96"/>
      <c r="F71" s="97"/>
      <c r="G71" s="98"/>
      <c r="H71" s="99"/>
      <c r="I71" s="99"/>
      <c r="J71" s="99"/>
      <c r="K71" s="99"/>
      <c r="L71" s="99"/>
      <c r="M71" s="99"/>
      <c r="N71" s="99"/>
    </row>
    <row r="72" spans="2:15" ht="31" x14ac:dyDescent="0.35">
      <c r="B72" s="7" t="s">
        <v>22</v>
      </c>
      <c r="C72" s="25" t="s">
        <v>48</v>
      </c>
      <c r="D72" s="25" t="s">
        <v>49</v>
      </c>
      <c r="E72" s="100"/>
      <c r="F72" s="26" t="s">
        <v>25</v>
      </c>
      <c r="G72" s="27" t="s">
        <v>26</v>
      </c>
      <c r="H72" s="99"/>
      <c r="I72" s="99"/>
      <c r="J72" s="99"/>
      <c r="K72" s="99"/>
      <c r="L72" s="99"/>
      <c r="M72" s="99"/>
      <c r="N72" s="99"/>
    </row>
    <row r="73" spans="2:15" ht="20.25" customHeight="1" x14ac:dyDescent="0.35">
      <c r="B73" s="101" t="s">
        <v>2</v>
      </c>
      <c r="C73" s="102">
        <v>40</v>
      </c>
      <c r="D73" s="103">
        <f>C73*F73</f>
        <v>40</v>
      </c>
      <c r="E73" s="100"/>
      <c r="F73" s="104">
        <v>1</v>
      </c>
      <c r="G73" s="105">
        <v>1</v>
      </c>
      <c r="H73" s="99"/>
      <c r="I73" s="99"/>
      <c r="J73" s="99"/>
      <c r="K73" s="99"/>
      <c r="L73" s="99"/>
      <c r="M73" s="99"/>
      <c r="N73" s="99"/>
    </row>
    <row r="74" spans="2:15" ht="20.25" customHeight="1" x14ac:dyDescent="0.35">
      <c r="B74" s="106" t="s">
        <v>72</v>
      </c>
      <c r="C74" s="102"/>
      <c r="D74" s="103"/>
      <c r="E74" s="100"/>
      <c r="F74" s="104"/>
      <c r="G74" s="105">
        <v>1</v>
      </c>
      <c r="H74" s="99"/>
      <c r="I74" s="99"/>
      <c r="J74" s="99"/>
      <c r="K74" s="99"/>
      <c r="L74" s="99"/>
      <c r="M74" s="99"/>
      <c r="N74" s="99"/>
    </row>
    <row r="75" spans="2:15" ht="20.25" customHeight="1" x14ac:dyDescent="0.35">
      <c r="B75" s="106" t="s">
        <v>11</v>
      </c>
      <c r="C75" s="102"/>
      <c r="D75" s="103"/>
      <c r="E75" s="100"/>
      <c r="F75" s="104"/>
      <c r="G75" s="105"/>
      <c r="H75" s="99"/>
      <c r="I75" s="99"/>
      <c r="J75" s="99"/>
      <c r="K75" s="99"/>
      <c r="L75" s="99"/>
      <c r="M75" s="99"/>
      <c r="N75" s="99"/>
    </row>
    <row r="76" spans="2:15" ht="20.25" customHeight="1" x14ac:dyDescent="0.35">
      <c r="B76" s="106" t="s">
        <v>73</v>
      </c>
      <c r="C76" s="102">
        <f>D76*G76/F76</f>
        <v>30</v>
      </c>
      <c r="D76" s="102">
        <v>15</v>
      </c>
      <c r="E76" s="100"/>
      <c r="F76" s="104">
        <v>1</v>
      </c>
      <c r="G76" s="105">
        <v>2</v>
      </c>
      <c r="H76" s="99"/>
      <c r="I76" s="99"/>
      <c r="J76" s="99"/>
      <c r="K76" s="99"/>
      <c r="L76" s="99"/>
      <c r="M76" s="99"/>
      <c r="N76" s="99"/>
    </row>
    <row r="77" spans="2:15" ht="20.25" customHeight="1" x14ac:dyDescent="0.35">
      <c r="B77" s="106" t="s">
        <v>74</v>
      </c>
      <c r="C77" s="102">
        <f>D76*G77/F76</f>
        <v>30</v>
      </c>
      <c r="D77" s="103"/>
      <c r="E77" s="100"/>
      <c r="F77" s="104"/>
      <c r="G77" s="105">
        <v>2</v>
      </c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106" t="s">
        <v>75</v>
      </c>
      <c r="C78" s="102">
        <f>D76*G78/F76</f>
        <v>30</v>
      </c>
      <c r="D78" s="103"/>
      <c r="E78" s="100"/>
      <c r="F78" s="104"/>
      <c r="G78" s="105">
        <v>2</v>
      </c>
      <c r="H78" s="99"/>
      <c r="I78" s="99"/>
      <c r="J78" s="99"/>
      <c r="K78" s="99"/>
      <c r="L78" s="99"/>
      <c r="M78" s="99"/>
      <c r="N78" s="99"/>
    </row>
    <row r="79" spans="2:15" ht="20.25" customHeight="1" x14ac:dyDescent="0.35">
      <c r="B79" s="41" t="s">
        <v>10</v>
      </c>
      <c r="C79" s="112">
        <f>SUM(C73:C78)</f>
        <v>130</v>
      </c>
      <c r="D79" s="113"/>
      <c r="E79" s="107"/>
      <c r="F79" s="100"/>
      <c r="G79" s="108"/>
      <c r="H79" s="99"/>
      <c r="I79" s="99"/>
      <c r="J79" s="99"/>
      <c r="K79" s="99"/>
      <c r="L79" s="99"/>
      <c r="M79" s="99"/>
      <c r="N79" s="99"/>
    </row>
    <row r="80" spans="2:15" ht="20.25" customHeight="1" x14ac:dyDescent="0.35">
      <c r="B80" s="109" t="s">
        <v>42</v>
      </c>
      <c r="C80" s="112">
        <f>SUM(D73:D78)</f>
        <v>55</v>
      </c>
      <c r="D80" s="113"/>
      <c r="E80" s="107"/>
      <c r="F80" s="100"/>
      <c r="G80" s="108"/>
      <c r="H80" s="99"/>
      <c r="I80" s="99"/>
      <c r="J80" s="99"/>
      <c r="K80" s="99"/>
      <c r="L80" s="99"/>
      <c r="M80" s="99"/>
      <c r="N80" s="99"/>
    </row>
  </sheetData>
  <mergeCells count="22">
    <mergeCell ref="C43:D43"/>
    <mergeCell ref="B1:F1"/>
    <mergeCell ref="C2:F2"/>
    <mergeCell ref="C20:D20"/>
    <mergeCell ref="C21:D21"/>
    <mergeCell ref="C22:D22"/>
    <mergeCell ref="C69:D69"/>
    <mergeCell ref="C79:D79"/>
    <mergeCell ref="C80:D80"/>
    <mergeCell ref="B3:B4"/>
    <mergeCell ref="C4:C5"/>
    <mergeCell ref="D4:D5"/>
    <mergeCell ref="B8:G9"/>
    <mergeCell ref="C56:D56"/>
    <mergeCell ref="C57:D57"/>
    <mergeCell ref="C62:D62"/>
    <mergeCell ref="C63:D63"/>
    <mergeCell ref="C68:D68"/>
    <mergeCell ref="C35:D35"/>
    <mergeCell ref="C36:D36"/>
    <mergeCell ref="C37:D37"/>
    <mergeCell ref="C42:D42"/>
  </mergeCells>
  <phoneticPr fontId="31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rgb="FFFFFF00"/>
  </sheetPr>
  <dimension ref="B1:O77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customWidth="1" outlineLevel="1"/>
    <col min="10" max="11" width="10.5" style="3" customWidth="1" outlineLevel="1"/>
    <col min="12" max="12" width="15.33203125" style="3" customWidth="1" outlineLevel="1"/>
    <col min="13" max="13" width="12.58203125" style="3" customWidth="1" outlineLevel="1"/>
    <col min="14" max="14" width="15.58203125" style="3" customWidth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x14ac:dyDescent="0.35">
      <c r="B2" s="7" t="s">
        <v>13</v>
      </c>
      <c r="C2" s="124" t="s">
        <v>80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8</v>
      </c>
      <c r="D4" s="118">
        <v>0.26</v>
      </c>
      <c r="E4" s="12">
        <f>K15</f>
        <v>136</v>
      </c>
      <c r="F4" s="12"/>
      <c r="L4" s="6"/>
      <c r="M4" s="8"/>
    </row>
    <row r="5" spans="2:14" ht="18.75" customHeight="1" x14ac:dyDescent="0.35">
      <c r="B5" s="11"/>
      <c r="C5" s="117"/>
      <c r="D5" s="118"/>
      <c r="E5" s="12">
        <f>K28</f>
        <v>200</v>
      </c>
      <c r="F5" s="12"/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C20+C34+C53+C76+C40+C59+C65</f>
        <v>298.75</v>
      </c>
      <c r="D6" s="15">
        <f>(C6-F6)/0.8</f>
        <v>335.9375</v>
      </c>
      <c r="E6" s="16" t="s">
        <v>20</v>
      </c>
      <c r="F6" s="17">
        <f>VLOOKUP(E6,$B$68:$C$82,2,0)</f>
        <v>30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C21+C35+C54+C77+C41+C60+C66</f>
        <v>76.5625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/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30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26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136</v>
      </c>
      <c r="L15" s="73">
        <v>5</v>
      </c>
      <c r="M15" s="74">
        <v>0.64400000000000002</v>
      </c>
    </row>
    <row r="16" spans="2:14" ht="18.75" customHeight="1" x14ac:dyDescent="0.35">
      <c r="B16" s="28" t="s">
        <v>37</v>
      </c>
      <c r="C16" s="29"/>
      <c r="D16" s="30">
        <f>($D$4+0.15)/0.95*60</f>
        <v>25.894736842105299</v>
      </c>
      <c r="F16" s="31">
        <v>1</v>
      </c>
      <c r="G16" s="32"/>
      <c r="I16" s="75"/>
      <c r="J16" s="76"/>
      <c r="K16" s="4"/>
      <c r="L16" s="77"/>
      <c r="M16" s="65"/>
    </row>
    <row r="17" spans="2:13" ht="18.75" customHeight="1" x14ac:dyDescent="0.35">
      <c r="B17" s="28" t="s">
        <v>38</v>
      </c>
      <c r="C17" s="29"/>
      <c r="D17" s="30">
        <v>30</v>
      </c>
      <c r="F17" s="31"/>
      <c r="G17" s="32"/>
      <c r="I17" s="73" t="s">
        <v>39</v>
      </c>
      <c r="J17" s="78">
        <f>SUM(D15:D15)/(MAX(D15:D15)*COUNT(D15:D15))</f>
        <v>1</v>
      </c>
      <c r="K17" s="4"/>
      <c r="L17" s="23"/>
      <c r="M17" s="65"/>
    </row>
    <row r="18" spans="2:13" ht="18.75" customHeight="1" x14ac:dyDescent="0.35">
      <c r="B18" s="28" t="s">
        <v>40</v>
      </c>
      <c r="C18" s="29">
        <v>30</v>
      </c>
      <c r="D18" s="30"/>
      <c r="E18" s="34"/>
      <c r="F18" s="35"/>
      <c r="G18" s="36">
        <v>1</v>
      </c>
      <c r="H18" s="18"/>
      <c r="I18" s="23"/>
      <c r="J18" s="23"/>
      <c r="K18" s="65"/>
    </row>
    <row r="19" spans="2:13" ht="18.75" customHeight="1" x14ac:dyDescent="0.35">
      <c r="B19" s="37" t="s">
        <v>41</v>
      </c>
      <c r="C19" s="120">
        <f>MAX(D12:D18)</f>
        <v>30</v>
      </c>
      <c r="D19" s="120"/>
      <c r="E19" s="38"/>
      <c r="F19" s="31">
        <f>SUM(F12:F18)</f>
        <v>3</v>
      </c>
      <c r="G19" s="39">
        <f>SUM(G12:G18)</f>
        <v>4</v>
      </c>
      <c r="H19" s="40"/>
      <c r="I19" s="23"/>
      <c r="J19" s="23"/>
      <c r="K19" s="65"/>
    </row>
    <row r="20" spans="2:13" ht="18.75" customHeight="1" x14ac:dyDescent="0.35">
      <c r="B20" s="41" t="s">
        <v>4</v>
      </c>
      <c r="C20" s="111">
        <f>C19*G19/$C$4</f>
        <v>15</v>
      </c>
      <c r="D20" s="111"/>
      <c r="E20" s="42"/>
      <c r="G20" s="3"/>
      <c r="H20" s="43"/>
      <c r="J20" s="23"/>
      <c r="K20" s="65"/>
    </row>
    <row r="21" spans="2:13" ht="18.75" customHeight="1" x14ac:dyDescent="0.35">
      <c r="B21" s="44" t="s">
        <v>42</v>
      </c>
      <c r="C21" s="111">
        <f>C19*F19/$C$4</f>
        <v>11.25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5"/>
      <c r="C22" s="45"/>
      <c r="D22" s="45"/>
      <c r="E22" s="45"/>
      <c r="F22" s="45"/>
      <c r="G22" s="45"/>
      <c r="H22" s="45"/>
      <c r="I22" s="45"/>
      <c r="J22" s="23"/>
      <c r="K22" s="65"/>
    </row>
    <row r="23" spans="2:13" ht="18.75" customHeight="1" x14ac:dyDescent="0.35">
      <c r="B23" s="22" t="s">
        <v>43</v>
      </c>
      <c r="C23" s="19"/>
      <c r="D23" s="19"/>
      <c r="E23" s="19"/>
      <c r="F23" s="23"/>
      <c r="G23" s="24"/>
      <c r="H23" s="24"/>
      <c r="I23" s="23"/>
      <c r="J23" s="23"/>
      <c r="K23" s="65"/>
    </row>
    <row r="24" spans="2:13" ht="31" x14ac:dyDescent="0.3">
      <c r="B24" s="7" t="s">
        <v>22</v>
      </c>
      <c r="C24" s="25" t="s">
        <v>23</v>
      </c>
      <c r="D24" s="25" t="s">
        <v>24</v>
      </c>
      <c r="F24" s="26" t="s">
        <v>25</v>
      </c>
      <c r="G24" s="27" t="s">
        <v>26</v>
      </c>
      <c r="I24" s="66" t="s">
        <v>27</v>
      </c>
      <c r="J24" s="67" t="s">
        <v>28</v>
      </c>
      <c r="K24" s="68" t="s">
        <v>29</v>
      </c>
      <c r="L24" s="66" t="s">
        <v>30</v>
      </c>
      <c r="M24" s="66" t="s">
        <v>31</v>
      </c>
    </row>
    <row r="25" spans="2:13" ht="18.75" customHeight="1" x14ac:dyDescent="0.35">
      <c r="B25" s="28" t="s">
        <v>32</v>
      </c>
      <c r="C25" s="29">
        <v>30</v>
      </c>
      <c r="D25" s="30"/>
      <c r="F25" s="31"/>
      <c r="G25" s="32">
        <v>1</v>
      </c>
      <c r="I25" s="34"/>
      <c r="J25" s="23"/>
      <c r="K25" s="69"/>
      <c r="L25" s="23"/>
      <c r="M25" s="65"/>
    </row>
    <row r="26" spans="2:13" ht="18.75" customHeight="1" x14ac:dyDescent="0.35">
      <c r="B26" s="28" t="s">
        <v>33</v>
      </c>
      <c r="C26" s="29"/>
      <c r="D26" s="33">
        <v>30</v>
      </c>
      <c r="F26" s="31">
        <v>1</v>
      </c>
      <c r="G26" s="32"/>
      <c r="I26" s="34"/>
      <c r="J26" s="23"/>
      <c r="K26" s="69"/>
      <c r="L26" s="23"/>
      <c r="M26" s="65"/>
    </row>
    <row r="27" spans="2:13" ht="18.75" customHeight="1" x14ac:dyDescent="0.35">
      <c r="B27" s="28" t="s">
        <v>34</v>
      </c>
      <c r="C27" s="29"/>
      <c r="D27" s="30">
        <v>30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44</v>
      </c>
      <c r="C28" s="29"/>
      <c r="D28" s="30">
        <v>30</v>
      </c>
      <c r="F28" s="31">
        <v>1</v>
      </c>
      <c r="G28" s="32">
        <v>1</v>
      </c>
      <c r="I28" s="70">
        <v>0.63</v>
      </c>
      <c r="J28" s="71">
        <f>3600/I28/150000</f>
        <v>3.8095238095238099E-2</v>
      </c>
      <c r="K28" s="72">
        <v>200</v>
      </c>
      <c r="L28" s="73">
        <v>5</v>
      </c>
      <c r="M28" s="74">
        <v>0.64400000000000002</v>
      </c>
    </row>
    <row r="29" spans="2:13" ht="18.75" customHeight="1" x14ac:dyDescent="0.35">
      <c r="B29" s="28" t="s">
        <v>37</v>
      </c>
      <c r="C29" s="29"/>
      <c r="D29" s="30">
        <f>($D$4+0.15)/0.95*60</f>
        <v>25.894736842105299</v>
      </c>
      <c r="F29" s="31">
        <v>1</v>
      </c>
      <c r="G29" s="32"/>
      <c r="I29" s="75"/>
      <c r="J29" s="76"/>
      <c r="K29" s="4"/>
      <c r="L29" s="77"/>
      <c r="M29" s="65"/>
    </row>
    <row r="30" spans="2:13" ht="18.75" customHeight="1" x14ac:dyDescent="0.35">
      <c r="B30" s="28" t="s">
        <v>38</v>
      </c>
      <c r="C30" s="29"/>
      <c r="D30" s="30">
        <v>30</v>
      </c>
      <c r="F30" s="31">
        <v>1</v>
      </c>
      <c r="G30" s="32"/>
      <c r="I30" s="73" t="s">
        <v>39</v>
      </c>
      <c r="J30" s="78">
        <f>SUM(D28:D28)/(MAX(D28:D28)*COUNT(D28:D28))</f>
        <v>1</v>
      </c>
      <c r="K30" s="4"/>
      <c r="L30" s="23"/>
      <c r="M30" s="65"/>
    </row>
    <row r="31" spans="2:13" ht="18.75" customHeight="1" x14ac:dyDescent="0.35">
      <c r="B31" s="28" t="s">
        <v>46</v>
      </c>
      <c r="C31" s="29">
        <v>30</v>
      </c>
      <c r="D31" s="30"/>
      <c r="E31" s="34"/>
      <c r="F31" s="35"/>
      <c r="G31" s="36">
        <v>1</v>
      </c>
      <c r="H31" s="18"/>
      <c r="I31" s="23"/>
      <c r="J31" s="23"/>
      <c r="K31" s="65"/>
    </row>
    <row r="32" spans="2:13" ht="18.75" customHeight="1" x14ac:dyDescent="0.35">
      <c r="B32" s="28" t="s">
        <v>40</v>
      </c>
      <c r="C32" s="29">
        <v>30</v>
      </c>
      <c r="D32" s="30"/>
      <c r="E32" s="34"/>
      <c r="F32" s="35"/>
      <c r="G32" s="36">
        <v>1</v>
      </c>
      <c r="H32" s="18"/>
      <c r="I32" s="23"/>
      <c r="J32" s="23"/>
      <c r="K32" s="65"/>
    </row>
    <row r="33" spans="2:15" ht="18.75" customHeight="1" x14ac:dyDescent="0.35">
      <c r="B33" s="37" t="s">
        <v>41</v>
      </c>
      <c r="C33" s="120">
        <f>MAX(D25:D32)</f>
        <v>30</v>
      </c>
      <c r="D33" s="120"/>
      <c r="E33" s="38"/>
      <c r="F33" s="31">
        <f>SUM(F25:F32)</f>
        <v>5</v>
      </c>
      <c r="G33" s="39">
        <f>SUM(G25:G32)</f>
        <v>4</v>
      </c>
      <c r="H33" s="40"/>
      <c r="I33" s="23"/>
      <c r="J33" s="23"/>
      <c r="K33" s="65"/>
    </row>
    <row r="34" spans="2:15" ht="18.75" customHeight="1" x14ac:dyDescent="0.35">
      <c r="B34" s="41" t="s">
        <v>5</v>
      </c>
      <c r="C34" s="111">
        <f>C33*G33/$C$4</f>
        <v>15</v>
      </c>
      <c r="D34" s="111"/>
      <c r="E34" s="42"/>
      <c r="G34" s="3"/>
      <c r="H34" s="43"/>
      <c r="J34" s="23"/>
      <c r="K34" s="65"/>
    </row>
    <row r="35" spans="2:15" ht="18.75" customHeight="1" x14ac:dyDescent="0.35">
      <c r="B35" s="41" t="s">
        <v>42</v>
      </c>
      <c r="C35" s="111">
        <f>C33*F33/$C$4</f>
        <v>18.75</v>
      </c>
      <c r="D35" s="111"/>
      <c r="E35" s="42"/>
      <c r="G35" s="3"/>
      <c r="H35" s="43"/>
      <c r="J35" s="23"/>
      <c r="K35" s="65"/>
    </row>
    <row r="36" spans="2:15" ht="18.75" customHeight="1" x14ac:dyDescent="0.35">
      <c r="B36" s="45"/>
      <c r="C36" s="45"/>
      <c r="D36" s="45"/>
      <c r="E36" s="45"/>
      <c r="F36" s="45"/>
      <c r="G36" s="45"/>
      <c r="H36" s="45"/>
      <c r="I36" s="45"/>
      <c r="J36" s="23"/>
      <c r="K36" s="65"/>
    </row>
    <row r="37" spans="2:15" ht="18.75" customHeight="1" x14ac:dyDescent="0.35">
      <c r="B37" s="22" t="s">
        <v>47</v>
      </c>
      <c r="C37" s="19"/>
      <c r="D37" s="19"/>
      <c r="E37" s="19"/>
      <c r="F37" s="23"/>
      <c r="G37" s="24"/>
      <c r="H37" s="24"/>
      <c r="I37" s="23"/>
      <c r="J37" s="23"/>
      <c r="K37" s="65"/>
    </row>
    <row r="38" spans="2:15" ht="31" x14ac:dyDescent="0.3">
      <c r="B38" s="7" t="s">
        <v>22</v>
      </c>
      <c r="C38" s="25" t="s">
        <v>48</v>
      </c>
      <c r="D38" s="25" t="s">
        <v>49</v>
      </c>
      <c r="F38" s="26" t="s">
        <v>25</v>
      </c>
      <c r="G38" s="27" t="s">
        <v>26</v>
      </c>
      <c r="I38" s="79"/>
      <c r="J38" s="79"/>
      <c r="K38" s="80"/>
      <c r="L38" s="79"/>
      <c r="M38" s="79"/>
    </row>
    <row r="39" spans="2:15" ht="18.75" customHeight="1" x14ac:dyDescent="0.35">
      <c r="B39" s="28" t="s">
        <v>47</v>
      </c>
      <c r="C39" s="29">
        <v>150</v>
      </c>
      <c r="D39" s="30">
        <f>C39*F39/G39</f>
        <v>0</v>
      </c>
      <c r="F39" s="31"/>
      <c r="G39" s="32">
        <v>1</v>
      </c>
      <c r="I39" s="34"/>
      <c r="J39" s="23"/>
      <c r="K39" s="69"/>
      <c r="L39" s="23"/>
      <c r="M39" s="65"/>
      <c r="O39" s="81"/>
    </row>
    <row r="40" spans="2:15" ht="18.75" customHeight="1" x14ac:dyDescent="0.35">
      <c r="B40" s="41" t="s">
        <v>7</v>
      </c>
      <c r="C40" s="111">
        <f>SUM(C39:C39)/$C$4</f>
        <v>18.75</v>
      </c>
      <c r="D40" s="111"/>
      <c r="E40" s="42"/>
      <c r="G40" s="43"/>
      <c r="H40" s="43"/>
      <c r="J40" s="23"/>
      <c r="K40" s="65"/>
    </row>
    <row r="41" spans="2:15" ht="18.75" customHeight="1" x14ac:dyDescent="0.35">
      <c r="B41" s="44" t="s">
        <v>42</v>
      </c>
      <c r="C41" s="111">
        <f>SUM(D39:D39)/$C$4</f>
        <v>0</v>
      </c>
      <c r="D41" s="111"/>
      <c r="E41" s="42"/>
      <c r="G41" s="43"/>
      <c r="H41" s="43"/>
      <c r="J41" s="23"/>
      <c r="K41" s="65"/>
    </row>
    <row r="42" spans="2:15" ht="18.75" customHeight="1" x14ac:dyDescent="0.35">
      <c r="B42" s="45"/>
      <c r="C42" s="45"/>
      <c r="D42" s="45"/>
      <c r="E42" s="45"/>
      <c r="F42" s="45"/>
      <c r="G42" s="45"/>
      <c r="H42" s="45"/>
      <c r="I42" s="45"/>
      <c r="J42" s="23"/>
      <c r="K42" s="65"/>
    </row>
    <row r="43" spans="2:15" s="2" customFormat="1" ht="18.75" customHeight="1" x14ac:dyDescent="0.45">
      <c r="B43" s="46" t="s">
        <v>50</v>
      </c>
      <c r="C43" s="47"/>
      <c r="D43" s="48"/>
      <c r="E43" s="48"/>
      <c r="F43" s="48"/>
      <c r="G43" s="49"/>
      <c r="H43" s="49"/>
      <c r="I43" s="82"/>
      <c r="J43" s="48"/>
      <c r="K43" s="48"/>
      <c r="L43" s="48"/>
    </row>
    <row r="44" spans="2:15" s="2" customFormat="1" ht="37" x14ac:dyDescent="0.3">
      <c r="B44" s="7" t="s">
        <v>22</v>
      </c>
      <c r="C44" s="25" t="s">
        <v>51</v>
      </c>
      <c r="D44" s="25" t="s">
        <v>52</v>
      </c>
      <c r="F44" s="50" t="s">
        <v>25</v>
      </c>
      <c r="G44" s="51" t="s">
        <v>26</v>
      </c>
      <c r="H44" s="52"/>
      <c r="I44" s="83"/>
      <c r="J44" s="84" t="s">
        <v>53</v>
      </c>
      <c r="K44" s="85" t="s">
        <v>54</v>
      </c>
      <c r="L44" s="84" t="s">
        <v>55</v>
      </c>
      <c r="M44" s="84" t="s">
        <v>56</v>
      </c>
      <c r="N44" s="84" t="s">
        <v>57</v>
      </c>
    </row>
    <row r="45" spans="2:15" s="2" customFormat="1" ht="18.75" customHeight="1" x14ac:dyDescent="0.45">
      <c r="B45" s="28" t="s">
        <v>58</v>
      </c>
      <c r="C45" s="29">
        <v>40</v>
      </c>
      <c r="D45" s="29">
        <f>C45/L45</f>
        <v>40</v>
      </c>
      <c r="F45" s="53"/>
      <c r="G45" s="54">
        <f>L45</f>
        <v>1</v>
      </c>
      <c r="H45" s="52"/>
      <c r="I45" s="86" t="s">
        <v>59</v>
      </c>
      <c r="J45" s="87">
        <v>1</v>
      </c>
      <c r="K45" s="88"/>
      <c r="L45" s="89">
        <v>1</v>
      </c>
      <c r="M45" s="90">
        <f>C45/L45</f>
        <v>40</v>
      </c>
      <c r="N45" s="91"/>
    </row>
    <row r="46" spans="2:15" s="2" customFormat="1" ht="18.75" customHeight="1" x14ac:dyDescent="0.45">
      <c r="B46" s="28" t="s">
        <v>60</v>
      </c>
      <c r="C46" s="29">
        <f>K46*8</f>
        <v>128</v>
      </c>
      <c r="D46" s="29">
        <f>C46/L46</f>
        <v>42.6666666666667</v>
      </c>
      <c r="F46" s="53"/>
      <c r="G46" s="54">
        <f>L46</f>
        <v>3</v>
      </c>
      <c r="H46" s="52"/>
      <c r="I46" s="86" t="s">
        <v>59</v>
      </c>
      <c r="J46" s="87">
        <f>ROUNDUP(C46/$C$48,0)</f>
        <v>3</v>
      </c>
      <c r="K46" s="88">
        <v>16</v>
      </c>
      <c r="L46" s="89">
        <f>IF(J46&gt;10,10,J46)</f>
        <v>3</v>
      </c>
      <c r="M46" s="90">
        <f>C46/L46</f>
        <v>42.6666666666667</v>
      </c>
      <c r="N46" s="91">
        <v>1</v>
      </c>
    </row>
    <row r="47" spans="2:15" s="2" customFormat="1" ht="18.75" customHeight="1" x14ac:dyDescent="0.45">
      <c r="B47" s="55" t="s">
        <v>61</v>
      </c>
      <c r="C47" s="29">
        <v>40</v>
      </c>
      <c r="D47" s="29">
        <f>C47/L47</f>
        <v>40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40</v>
      </c>
      <c r="N47" s="91"/>
    </row>
    <row r="48" spans="2:15" s="2" customFormat="1" ht="18.75" customHeight="1" x14ac:dyDescent="0.45">
      <c r="B48" s="28" t="s">
        <v>62</v>
      </c>
      <c r="C48" s="29">
        <f>IF($D$4&gt;0.3,($D$4+0.3)/0.8*60,(0.3+0.4)/0.8*60)</f>
        <v>52.5</v>
      </c>
      <c r="D48" s="29">
        <f>C48</f>
        <v>52.5</v>
      </c>
      <c r="F48" s="53">
        <v>1</v>
      </c>
      <c r="G48" s="54">
        <f t="shared" ref="G48:G49" si="0">L48</f>
        <v>0</v>
      </c>
      <c r="H48" s="52"/>
      <c r="I48" s="86"/>
      <c r="J48" s="87"/>
      <c r="K48" s="88"/>
      <c r="L48" s="89"/>
      <c r="M48" s="90">
        <f>D48</f>
        <v>52.5</v>
      </c>
      <c r="N48" s="91"/>
    </row>
    <row r="49" spans="2:15" s="2" customFormat="1" ht="18.75" customHeight="1" x14ac:dyDescent="0.45">
      <c r="B49" s="56" t="s">
        <v>63</v>
      </c>
      <c r="C49" s="29">
        <v>40</v>
      </c>
      <c r="D49" s="29">
        <f>C49/G49</f>
        <v>40</v>
      </c>
      <c r="F49" s="53"/>
      <c r="G49" s="54">
        <f t="shared" si="0"/>
        <v>1</v>
      </c>
      <c r="H49" s="52"/>
      <c r="I49" s="86" t="s">
        <v>59</v>
      </c>
      <c r="J49" s="87">
        <f>ROUNDUP(C49/$C$48,0)</f>
        <v>1</v>
      </c>
      <c r="K49" s="88"/>
      <c r="L49" s="89">
        <v>1</v>
      </c>
      <c r="M49" s="90">
        <f>C49/L49</f>
        <v>40</v>
      </c>
      <c r="N49" s="91"/>
    </row>
    <row r="50" spans="2:15" s="2" customFormat="1" ht="18.75" customHeight="1" x14ac:dyDescent="0.45">
      <c r="B50" s="28" t="s">
        <v>64</v>
      </c>
      <c r="C50" s="29">
        <v>40</v>
      </c>
      <c r="D50" s="29">
        <f t="shared" ref="D50:D52" si="1">C50/G50</f>
        <v>40</v>
      </c>
      <c r="F50" s="53"/>
      <c r="G50" s="54">
        <v>1</v>
      </c>
      <c r="H50" s="52"/>
      <c r="I50" s="86" t="s">
        <v>59</v>
      </c>
      <c r="J50" s="87">
        <f>ROUNDUP(C50/$C$48,0)</f>
        <v>1</v>
      </c>
      <c r="K50" s="88"/>
      <c r="L50" s="89">
        <v>1</v>
      </c>
      <c r="M50" s="90">
        <f t="shared" ref="M50:M52" si="2">C50/L50</f>
        <v>40</v>
      </c>
      <c r="N50" s="91"/>
    </row>
    <row r="51" spans="2:15" s="2" customFormat="1" ht="18.75" customHeight="1" x14ac:dyDescent="0.45">
      <c r="B51" s="28" t="s">
        <v>66</v>
      </c>
      <c r="C51" s="29">
        <v>40</v>
      </c>
      <c r="D51" s="29">
        <f t="shared" si="1"/>
        <v>40</v>
      </c>
      <c r="F51" s="53"/>
      <c r="G51" s="54">
        <v>1</v>
      </c>
      <c r="H51" s="52"/>
      <c r="I51" s="86" t="s">
        <v>59</v>
      </c>
      <c r="J51" s="87">
        <f>ROUNDUP(C51/$C$48,0)</f>
        <v>1</v>
      </c>
      <c r="K51" s="88"/>
      <c r="L51" s="89">
        <v>1</v>
      </c>
      <c r="M51" s="90">
        <f t="shared" si="2"/>
        <v>40</v>
      </c>
      <c r="N51" s="91"/>
    </row>
    <row r="52" spans="2:15" s="2" customFormat="1" ht="18.75" customHeight="1" x14ac:dyDescent="0.45">
      <c r="B52" s="28" t="s">
        <v>67</v>
      </c>
      <c r="C52" s="29">
        <v>40</v>
      </c>
      <c r="D52" s="29">
        <f t="shared" si="1"/>
        <v>20</v>
      </c>
      <c r="F52" s="53"/>
      <c r="G52" s="54">
        <v>2</v>
      </c>
      <c r="H52" s="52"/>
      <c r="I52" s="86" t="s">
        <v>59</v>
      </c>
      <c r="J52" s="87">
        <f>ROUNDUP(C52/$C$48,0)</f>
        <v>1</v>
      </c>
      <c r="K52" s="88"/>
      <c r="L52" s="89">
        <v>4</v>
      </c>
      <c r="M52" s="90">
        <f t="shared" si="2"/>
        <v>10</v>
      </c>
      <c r="N52" s="91"/>
    </row>
    <row r="53" spans="2:15" s="2" customFormat="1" ht="18.75" customHeight="1" x14ac:dyDescent="0.45">
      <c r="B53" s="41" t="s">
        <v>6</v>
      </c>
      <c r="C53" s="111">
        <f>MAX(C45:C52)*G53/$C$4</f>
        <v>160</v>
      </c>
      <c r="D53" s="111"/>
      <c r="E53" s="57"/>
      <c r="F53" s="2">
        <f>SUM(F45:F52)</f>
        <v>1</v>
      </c>
      <c r="G53" s="2">
        <f>SUM(G45:G52)</f>
        <v>10</v>
      </c>
      <c r="H53" s="52"/>
      <c r="I53" s="86" t="s">
        <v>68</v>
      </c>
      <c r="J53" s="87">
        <f>SUM(J45:J52)</f>
        <v>9</v>
      </c>
      <c r="K53" s="88"/>
      <c r="L53" s="92">
        <f>SUM(L45:L52)</f>
        <v>12</v>
      </c>
      <c r="M53" s="93">
        <f>MAX(M45:M52)*L53</f>
        <v>630</v>
      </c>
      <c r="N53" s="89"/>
    </row>
    <row r="54" spans="2:15" s="2" customFormat="1" ht="18.75" customHeight="1" x14ac:dyDescent="0.45">
      <c r="B54" s="58" t="s">
        <v>42</v>
      </c>
      <c r="C54" s="111">
        <f>MAX(D45:D52)*F53/$C$4</f>
        <v>6.5625</v>
      </c>
      <c r="D54" s="111"/>
      <c r="E54" s="59"/>
      <c r="F54" s="60"/>
      <c r="G54" s="61"/>
      <c r="H54" s="61"/>
      <c r="I54" s="94"/>
      <c r="J54" s="60"/>
      <c r="K54" s="60"/>
      <c r="L54" s="60"/>
    </row>
    <row r="56" spans="2:15" ht="18.75" customHeight="1" x14ac:dyDescent="0.35">
      <c r="B56" s="22" t="s">
        <v>69</v>
      </c>
      <c r="C56" s="19"/>
      <c r="D56" s="19"/>
      <c r="E56" s="19"/>
      <c r="F56" s="23"/>
      <c r="G56" s="24"/>
      <c r="H56" s="24"/>
      <c r="I56" s="23"/>
      <c r="J56" s="23"/>
      <c r="K56" s="65"/>
    </row>
    <row r="57" spans="2:15" ht="31" x14ac:dyDescent="0.3">
      <c r="B57" s="7" t="s">
        <v>22</v>
      </c>
      <c r="C57" s="25" t="s">
        <v>48</v>
      </c>
      <c r="D57" s="25" t="s">
        <v>49</v>
      </c>
      <c r="F57" s="26" t="s">
        <v>25</v>
      </c>
      <c r="G57" s="27" t="s">
        <v>26</v>
      </c>
      <c r="I57" s="79"/>
      <c r="J57" s="79"/>
      <c r="K57" s="80"/>
      <c r="L57" s="79"/>
      <c r="M57" s="79"/>
    </row>
    <row r="58" spans="2:15" ht="18.75" customHeight="1" x14ac:dyDescent="0.35">
      <c r="B58" s="28" t="s">
        <v>69</v>
      </c>
      <c r="C58" s="29">
        <v>0</v>
      </c>
      <c r="D58" s="30">
        <f>C58*F58</f>
        <v>0</v>
      </c>
      <c r="F58" s="31">
        <v>1</v>
      </c>
      <c r="G58" s="32">
        <v>1</v>
      </c>
      <c r="I58" s="34"/>
      <c r="J58" s="23"/>
      <c r="K58" s="69"/>
      <c r="L58" s="23"/>
      <c r="M58" s="65"/>
      <c r="O58" s="81"/>
    </row>
    <row r="59" spans="2:15" ht="18.75" customHeight="1" x14ac:dyDescent="0.35">
      <c r="B59" s="41" t="s">
        <v>8</v>
      </c>
      <c r="C59" s="111">
        <f>SUM(C58:C58)*G58/$C$4</f>
        <v>0</v>
      </c>
      <c r="D59" s="111"/>
      <c r="E59" s="42"/>
      <c r="G59" s="43"/>
      <c r="H59" s="43"/>
      <c r="J59" s="23"/>
      <c r="K59" s="65"/>
    </row>
    <row r="60" spans="2:15" ht="18.75" customHeight="1" x14ac:dyDescent="0.35">
      <c r="B60" s="44" t="s">
        <v>42</v>
      </c>
      <c r="C60" s="111">
        <f>SUM(D58:D58)/$C$4</f>
        <v>0</v>
      </c>
      <c r="D60" s="111"/>
      <c r="E60" s="42"/>
      <c r="G60" s="43"/>
      <c r="H60" s="43"/>
      <c r="J60" s="23"/>
      <c r="K60" s="65"/>
    </row>
    <row r="61" spans="2:15" ht="18.75" customHeight="1" x14ac:dyDescent="0.35">
      <c r="B61" s="45"/>
      <c r="C61" s="45"/>
      <c r="D61" s="45"/>
      <c r="E61" s="45"/>
      <c r="F61" s="45"/>
      <c r="G61" s="45"/>
      <c r="H61" s="45"/>
      <c r="I61" s="45"/>
      <c r="J61" s="23"/>
      <c r="K61" s="65"/>
    </row>
    <row r="62" spans="2:15" ht="18.75" customHeight="1" x14ac:dyDescent="0.4">
      <c r="B62" s="62" t="s">
        <v>70</v>
      </c>
      <c r="C62" s="19"/>
      <c r="D62" s="19"/>
      <c r="E62" s="19"/>
      <c r="F62" s="23"/>
      <c r="G62" s="24"/>
      <c r="H62" s="24"/>
      <c r="I62" s="23"/>
      <c r="J62" s="23"/>
      <c r="K62" s="65"/>
    </row>
    <row r="63" spans="2:15" ht="31" x14ac:dyDescent="0.3">
      <c r="B63" s="7" t="s">
        <v>22</v>
      </c>
      <c r="C63" s="25" t="s">
        <v>48</v>
      </c>
      <c r="D63" s="25" t="s">
        <v>49</v>
      </c>
      <c r="F63" s="26" t="s">
        <v>25</v>
      </c>
      <c r="G63" s="27" t="s">
        <v>26</v>
      </c>
      <c r="I63" s="79"/>
      <c r="J63" s="79"/>
      <c r="K63" s="80"/>
      <c r="L63" s="79"/>
      <c r="M63" s="79"/>
    </row>
    <row r="64" spans="2:15" ht="18.75" customHeight="1" x14ac:dyDescent="0.35">
      <c r="B64" s="55" t="s">
        <v>70</v>
      </c>
      <c r="C64" s="29">
        <v>0</v>
      </c>
      <c r="D64" s="30">
        <f>C64*F64</f>
        <v>0</v>
      </c>
      <c r="F64" s="31"/>
      <c r="G64" s="32">
        <v>1</v>
      </c>
      <c r="I64" s="34"/>
      <c r="J64" s="23"/>
      <c r="K64" s="69"/>
      <c r="L64" s="23"/>
      <c r="M64" s="65"/>
      <c r="O64" s="81"/>
    </row>
    <row r="65" spans="2:14" ht="18.75" customHeight="1" x14ac:dyDescent="0.35">
      <c r="B65" s="41" t="s">
        <v>9</v>
      </c>
      <c r="C65" s="111">
        <f>SUM(C64:C64)*G64</f>
        <v>0</v>
      </c>
      <c r="D65" s="111"/>
      <c r="E65" s="42"/>
      <c r="G65" s="43"/>
      <c r="H65" s="43"/>
      <c r="J65" s="23"/>
      <c r="K65" s="65"/>
    </row>
    <row r="66" spans="2:14" ht="18.75" customHeight="1" x14ac:dyDescent="0.35">
      <c r="B66" s="44" t="s">
        <v>42</v>
      </c>
      <c r="C66" s="111">
        <f>SUM(D64:D64)/$C$4</f>
        <v>0</v>
      </c>
      <c r="D66" s="111"/>
      <c r="E66" s="42"/>
      <c r="G66" s="43"/>
      <c r="H66" s="43"/>
      <c r="J66" s="23"/>
      <c r="K66" s="65"/>
    </row>
    <row r="67" spans="2:14" ht="18.75" customHeight="1" x14ac:dyDescent="0.35">
      <c r="B67" s="45"/>
      <c r="C67" s="45"/>
      <c r="D67" s="45"/>
      <c r="E67" s="45"/>
      <c r="F67" s="45"/>
      <c r="G67" s="45"/>
      <c r="H67" s="45"/>
      <c r="I67" s="45"/>
      <c r="J67" s="23"/>
      <c r="K67" s="65"/>
    </row>
    <row r="68" spans="2:14" x14ac:dyDescent="0.35">
      <c r="B68" s="95" t="s">
        <v>71</v>
      </c>
      <c r="C68" s="96"/>
      <c r="D68" s="96"/>
      <c r="E68" s="96"/>
      <c r="F68" s="97"/>
      <c r="G68" s="98"/>
      <c r="H68" s="99"/>
      <c r="I68" s="99"/>
      <c r="J68" s="99"/>
      <c r="K68" s="99"/>
      <c r="L68" s="99"/>
      <c r="M68" s="99"/>
      <c r="N68" s="99"/>
    </row>
    <row r="69" spans="2:14" ht="31" x14ac:dyDescent="0.35">
      <c r="B69" s="7" t="s">
        <v>22</v>
      </c>
      <c r="C69" s="25" t="s">
        <v>48</v>
      </c>
      <c r="D69" s="25" t="s">
        <v>49</v>
      </c>
      <c r="E69" s="100"/>
      <c r="F69" s="26" t="s">
        <v>25</v>
      </c>
      <c r="G69" s="27" t="s">
        <v>26</v>
      </c>
      <c r="H69" s="99"/>
      <c r="I69" s="99"/>
      <c r="J69" s="99"/>
      <c r="K69" s="99"/>
      <c r="L69" s="99"/>
      <c r="M69" s="99"/>
      <c r="N69" s="99"/>
    </row>
    <row r="70" spans="2:14" ht="20.25" customHeight="1" x14ac:dyDescent="0.35">
      <c r="B70" s="101" t="s">
        <v>2</v>
      </c>
      <c r="C70" s="102">
        <v>30</v>
      </c>
      <c r="D70" s="103">
        <f>C70*F70</f>
        <v>30</v>
      </c>
      <c r="E70" s="100"/>
      <c r="F70" s="104">
        <v>1</v>
      </c>
      <c r="G70" s="105">
        <v>1</v>
      </c>
      <c r="H70" s="99"/>
      <c r="I70" s="99"/>
      <c r="J70" s="99"/>
      <c r="K70" s="99"/>
      <c r="L70" s="99"/>
      <c r="M70" s="99"/>
      <c r="N70" s="99"/>
    </row>
    <row r="71" spans="2:14" ht="20.25" customHeight="1" x14ac:dyDescent="0.35">
      <c r="B71" s="106" t="s">
        <v>72</v>
      </c>
      <c r="C71" s="102"/>
      <c r="D71" s="103"/>
      <c r="E71" s="100"/>
      <c r="F71" s="104"/>
      <c r="G71" s="105">
        <v>1</v>
      </c>
      <c r="H71" s="99"/>
      <c r="I71" s="99"/>
      <c r="J71" s="99"/>
      <c r="K71" s="99"/>
      <c r="L71" s="99"/>
      <c r="M71" s="99"/>
      <c r="N71" s="99"/>
    </row>
    <row r="72" spans="2:14" ht="20.25" customHeight="1" x14ac:dyDescent="0.35">
      <c r="B72" s="106" t="s">
        <v>11</v>
      </c>
      <c r="C72" s="102"/>
      <c r="D72" s="103"/>
      <c r="E72" s="100"/>
      <c r="F72" s="104"/>
      <c r="G72" s="105"/>
      <c r="H72" s="99"/>
      <c r="I72" s="99"/>
      <c r="J72" s="99"/>
      <c r="K72" s="99"/>
      <c r="L72" s="99"/>
      <c r="M72" s="99"/>
      <c r="N72" s="99"/>
    </row>
    <row r="73" spans="2:14" ht="20.25" customHeight="1" x14ac:dyDescent="0.35">
      <c r="B73" s="106" t="s">
        <v>73</v>
      </c>
      <c r="C73" s="102">
        <f>D73*G73/F73</f>
        <v>20</v>
      </c>
      <c r="D73" s="102">
        <v>10</v>
      </c>
      <c r="E73" s="100"/>
      <c r="F73" s="104">
        <v>1</v>
      </c>
      <c r="G73" s="105">
        <v>2</v>
      </c>
      <c r="H73" s="99"/>
      <c r="I73" s="99"/>
      <c r="J73" s="99"/>
      <c r="K73" s="99"/>
      <c r="L73" s="99"/>
      <c r="M73" s="99"/>
      <c r="N73" s="99"/>
    </row>
    <row r="74" spans="2:14" ht="20.25" customHeight="1" x14ac:dyDescent="0.35">
      <c r="B74" s="106" t="s">
        <v>74</v>
      </c>
      <c r="C74" s="102">
        <f>D73*G74/F73</f>
        <v>20</v>
      </c>
      <c r="D74" s="103"/>
      <c r="E74" s="100"/>
      <c r="F74" s="104"/>
      <c r="G74" s="105">
        <v>2</v>
      </c>
      <c r="H74" s="99"/>
      <c r="I74" s="99"/>
      <c r="J74" s="99"/>
      <c r="K74" s="99"/>
      <c r="L74" s="99"/>
      <c r="M74" s="99"/>
      <c r="N74" s="99"/>
    </row>
    <row r="75" spans="2:14" ht="20.25" customHeight="1" x14ac:dyDescent="0.35">
      <c r="B75" s="106" t="s">
        <v>75</v>
      </c>
      <c r="C75" s="102">
        <f>D73*G75/F73</f>
        <v>20</v>
      </c>
      <c r="D75" s="103"/>
      <c r="E75" s="100"/>
      <c r="F75" s="104"/>
      <c r="G75" s="105">
        <v>2</v>
      </c>
      <c r="H75" s="99"/>
      <c r="I75" s="99"/>
      <c r="J75" s="99"/>
      <c r="K75" s="99"/>
      <c r="L75" s="99"/>
      <c r="M75" s="99"/>
      <c r="N75" s="99"/>
    </row>
    <row r="76" spans="2:14" ht="20.25" customHeight="1" x14ac:dyDescent="0.35">
      <c r="B76" s="41" t="s">
        <v>10</v>
      </c>
      <c r="C76" s="112">
        <f>SUM(C70:C75)</f>
        <v>90</v>
      </c>
      <c r="D76" s="113"/>
      <c r="E76" s="107"/>
      <c r="F76" s="100"/>
      <c r="G76" s="108"/>
      <c r="H76" s="99"/>
      <c r="I76" s="99"/>
      <c r="J76" s="99"/>
      <c r="K76" s="99"/>
      <c r="L76" s="99"/>
      <c r="M76" s="99"/>
      <c r="N76" s="99"/>
    </row>
    <row r="77" spans="2:14" ht="20.25" customHeight="1" x14ac:dyDescent="0.35">
      <c r="B77" s="109" t="s">
        <v>42</v>
      </c>
      <c r="C77" s="112">
        <f>SUM(D70:D75)</f>
        <v>40</v>
      </c>
      <c r="D77" s="113"/>
      <c r="E77" s="107"/>
      <c r="F77" s="100"/>
      <c r="G77" s="108"/>
      <c r="H77" s="99"/>
      <c r="I77" s="99"/>
      <c r="J77" s="99"/>
      <c r="K77" s="99"/>
      <c r="L77" s="99"/>
      <c r="M77" s="99"/>
      <c r="N77" s="99"/>
    </row>
  </sheetData>
  <mergeCells count="22">
    <mergeCell ref="C41:D41"/>
    <mergeCell ref="B1:F1"/>
    <mergeCell ref="C2:F2"/>
    <mergeCell ref="C19:D19"/>
    <mergeCell ref="C20:D20"/>
    <mergeCell ref="C21:D21"/>
    <mergeCell ref="C66:D66"/>
    <mergeCell ref="C76:D76"/>
    <mergeCell ref="C77:D77"/>
    <mergeCell ref="B3:B4"/>
    <mergeCell ref="C4:C5"/>
    <mergeCell ref="D4:D5"/>
    <mergeCell ref="B8:G9"/>
    <mergeCell ref="C53:D53"/>
    <mergeCell ref="C54:D54"/>
    <mergeCell ref="C59:D59"/>
    <mergeCell ref="C60:D60"/>
    <mergeCell ref="C65:D65"/>
    <mergeCell ref="C33:D33"/>
    <mergeCell ref="C34:D34"/>
    <mergeCell ref="C35:D35"/>
    <mergeCell ref="C40:D40"/>
  </mergeCells>
  <phoneticPr fontId="31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tabColor rgb="FFFFFF00"/>
  </sheetPr>
  <dimension ref="B1:O77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customWidth="1" outlineLevel="1"/>
    <col min="10" max="11" width="10.5" style="3" customWidth="1" outlineLevel="1"/>
    <col min="12" max="12" width="15.33203125" style="3" customWidth="1" outlineLevel="1"/>
    <col min="13" max="13" width="12.58203125" style="3" customWidth="1" outlineLevel="1"/>
    <col min="14" max="14" width="15.58203125" style="3" customWidth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x14ac:dyDescent="0.35">
      <c r="B2" s="7" t="s">
        <v>13</v>
      </c>
      <c r="C2" s="124" t="s">
        <v>84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4</v>
      </c>
      <c r="D4" s="118">
        <v>0.26</v>
      </c>
      <c r="E4" s="12">
        <f>K15</f>
        <v>80</v>
      </c>
      <c r="F4" s="12"/>
      <c r="L4" s="6"/>
      <c r="M4" s="8"/>
    </row>
    <row r="5" spans="2:14" ht="18.75" customHeight="1" x14ac:dyDescent="0.35">
      <c r="B5" s="11"/>
      <c r="C5" s="117"/>
      <c r="D5" s="118"/>
      <c r="E5" s="12">
        <f>K28</f>
        <v>122</v>
      </c>
      <c r="F5" s="12"/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C20+C34+C53+C76+C40+C59+C65</f>
        <v>175</v>
      </c>
      <c r="D6" s="15">
        <f>(C6-F6)/0.8</f>
        <v>181.25</v>
      </c>
      <c r="E6" s="16" t="s">
        <v>20</v>
      </c>
      <c r="F6" s="17">
        <f>VLOOKUP(E6,$B$68:$C$82,2,0)</f>
        <v>30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C21+C35+C54+C77+C41+C60+C66</f>
        <v>100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/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30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10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80</v>
      </c>
      <c r="L15" s="73">
        <v>5</v>
      </c>
      <c r="M15" s="74">
        <v>0.64400000000000002</v>
      </c>
    </row>
    <row r="16" spans="2:14" ht="18.75" customHeight="1" x14ac:dyDescent="0.35">
      <c r="B16" s="28" t="s">
        <v>37</v>
      </c>
      <c r="C16" s="29"/>
      <c r="D16" s="30">
        <f>($D$4+0.15)/0.95*60</f>
        <v>25.894736842105299</v>
      </c>
      <c r="F16" s="31">
        <v>1</v>
      </c>
      <c r="G16" s="32"/>
      <c r="I16" s="75"/>
      <c r="J16" s="76"/>
      <c r="K16" s="4"/>
      <c r="L16" s="77"/>
      <c r="M16" s="65"/>
    </row>
    <row r="17" spans="2:13" ht="18.75" customHeight="1" x14ac:dyDescent="0.35">
      <c r="B17" s="28" t="s">
        <v>38</v>
      </c>
      <c r="C17" s="29"/>
      <c r="D17" s="30">
        <v>30</v>
      </c>
      <c r="F17" s="31"/>
      <c r="G17" s="32"/>
      <c r="I17" s="73" t="s">
        <v>39</v>
      </c>
      <c r="J17" s="78">
        <f>SUM(D15:D15)/(MAX(D15:D15)*COUNT(D15:D15))</f>
        <v>1</v>
      </c>
      <c r="K17" s="4"/>
      <c r="L17" s="23"/>
      <c r="M17" s="65"/>
    </row>
    <row r="18" spans="2:13" ht="18.75" customHeight="1" x14ac:dyDescent="0.35">
      <c r="B18" s="28" t="s">
        <v>40</v>
      </c>
      <c r="C18" s="29">
        <v>30</v>
      </c>
      <c r="D18" s="30"/>
      <c r="E18" s="34"/>
      <c r="F18" s="35"/>
      <c r="G18" s="36">
        <v>1</v>
      </c>
      <c r="H18" s="18"/>
      <c r="I18" s="23"/>
      <c r="J18" s="23"/>
      <c r="K18" s="65"/>
    </row>
    <row r="19" spans="2:13" ht="18.75" customHeight="1" x14ac:dyDescent="0.35">
      <c r="B19" s="37" t="s">
        <v>41</v>
      </c>
      <c r="C19" s="120">
        <f>MAX(D12:D18)</f>
        <v>30</v>
      </c>
      <c r="D19" s="120"/>
      <c r="E19" s="38"/>
      <c r="F19" s="31">
        <f>SUM(F12:F18)</f>
        <v>3</v>
      </c>
      <c r="G19" s="39">
        <f>SUM(G12:G18)</f>
        <v>4</v>
      </c>
      <c r="H19" s="40"/>
      <c r="I19" s="23"/>
      <c r="J19" s="23"/>
      <c r="K19" s="65"/>
    </row>
    <row r="20" spans="2:13" ht="18.75" customHeight="1" x14ac:dyDescent="0.35">
      <c r="B20" s="41" t="s">
        <v>4</v>
      </c>
      <c r="C20" s="111">
        <f>C19*G19/$C$4</f>
        <v>30</v>
      </c>
      <c r="D20" s="111"/>
      <c r="E20" s="42"/>
      <c r="G20" s="3"/>
      <c r="H20" s="43"/>
      <c r="J20" s="23"/>
      <c r="K20" s="65"/>
    </row>
    <row r="21" spans="2:13" ht="18.75" customHeight="1" x14ac:dyDescent="0.35">
      <c r="B21" s="44" t="s">
        <v>42</v>
      </c>
      <c r="C21" s="111">
        <f>C19*F19/$C$4</f>
        <v>22.5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5"/>
      <c r="C22" s="45"/>
      <c r="D22" s="45"/>
      <c r="E22" s="45"/>
      <c r="F22" s="45"/>
      <c r="G22" s="45"/>
      <c r="H22" s="45"/>
      <c r="I22" s="45"/>
      <c r="J22" s="23"/>
      <c r="K22" s="65"/>
    </row>
    <row r="23" spans="2:13" ht="18.75" customHeight="1" x14ac:dyDescent="0.35">
      <c r="B23" s="22" t="s">
        <v>43</v>
      </c>
      <c r="C23" s="19"/>
      <c r="D23" s="19"/>
      <c r="E23" s="19"/>
      <c r="F23" s="23"/>
      <c r="G23" s="24"/>
      <c r="H23" s="24"/>
      <c r="I23" s="23"/>
      <c r="J23" s="23"/>
      <c r="K23" s="65"/>
    </row>
    <row r="24" spans="2:13" ht="31" x14ac:dyDescent="0.3">
      <c r="B24" s="7" t="s">
        <v>22</v>
      </c>
      <c r="C24" s="25" t="s">
        <v>23</v>
      </c>
      <c r="D24" s="25" t="s">
        <v>24</v>
      </c>
      <c r="F24" s="26" t="s">
        <v>25</v>
      </c>
      <c r="G24" s="27" t="s">
        <v>26</v>
      </c>
      <c r="I24" s="66" t="s">
        <v>27</v>
      </c>
      <c r="J24" s="67" t="s">
        <v>28</v>
      </c>
      <c r="K24" s="68" t="s">
        <v>29</v>
      </c>
      <c r="L24" s="66" t="s">
        <v>30</v>
      </c>
      <c r="M24" s="66" t="s">
        <v>31</v>
      </c>
    </row>
    <row r="25" spans="2:13" ht="18.75" customHeight="1" x14ac:dyDescent="0.35">
      <c r="B25" s="28" t="s">
        <v>32</v>
      </c>
      <c r="C25" s="29">
        <v>30</v>
      </c>
      <c r="D25" s="30"/>
      <c r="F25" s="31"/>
      <c r="G25" s="32">
        <v>1</v>
      </c>
      <c r="I25" s="34"/>
      <c r="J25" s="23"/>
      <c r="K25" s="69"/>
      <c r="L25" s="23"/>
      <c r="M25" s="65"/>
    </row>
    <row r="26" spans="2:13" ht="18.75" customHeight="1" x14ac:dyDescent="0.35">
      <c r="B26" s="28" t="s">
        <v>33</v>
      </c>
      <c r="C26" s="29"/>
      <c r="D26" s="33">
        <v>30</v>
      </c>
      <c r="F26" s="31">
        <v>1</v>
      </c>
      <c r="G26" s="32"/>
      <c r="I26" s="34"/>
      <c r="J26" s="23"/>
      <c r="K26" s="69"/>
      <c r="L26" s="23"/>
      <c r="M26" s="65"/>
    </row>
    <row r="27" spans="2:13" ht="18.75" customHeight="1" x14ac:dyDescent="0.35">
      <c r="B27" s="28" t="s">
        <v>34</v>
      </c>
      <c r="C27" s="29"/>
      <c r="D27" s="30">
        <v>30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44</v>
      </c>
      <c r="C28" s="29"/>
      <c r="D28" s="30">
        <v>15</v>
      </c>
      <c r="F28" s="31">
        <v>1</v>
      </c>
      <c r="G28" s="32">
        <v>1</v>
      </c>
      <c r="I28" s="70">
        <v>0.63</v>
      </c>
      <c r="J28" s="71">
        <f>3600/I28/150000</f>
        <v>3.8095238095238099E-2</v>
      </c>
      <c r="K28" s="72">
        <v>122</v>
      </c>
      <c r="L28" s="73">
        <v>5</v>
      </c>
      <c r="M28" s="74">
        <v>0.64400000000000002</v>
      </c>
    </row>
    <row r="29" spans="2:13" ht="18.75" customHeight="1" x14ac:dyDescent="0.35">
      <c r="B29" s="28" t="s">
        <v>37</v>
      </c>
      <c r="C29" s="29"/>
      <c r="D29" s="30">
        <f>($D$4+0.15)/0.95*60</f>
        <v>25.894736842105299</v>
      </c>
      <c r="F29" s="31">
        <v>1</v>
      </c>
      <c r="G29" s="32"/>
      <c r="I29" s="75"/>
      <c r="J29" s="76"/>
      <c r="K29" s="4"/>
      <c r="L29" s="77"/>
      <c r="M29" s="65"/>
    </row>
    <row r="30" spans="2:13" ht="18.75" customHeight="1" x14ac:dyDescent="0.35">
      <c r="B30" s="28" t="s">
        <v>38</v>
      </c>
      <c r="C30" s="29"/>
      <c r="D30" s="30">
        <v>30</v>
      </c>
      <c r="F30" s="31">
        <v>1</v>
      </c>
      <c r="G30" s="32"/>
      <c r="I30" s="73" t="s">
        <v>39</v>
      </c>
      <c r="J30" s="78">
        <f>SUM(D28:D28)/(MAX(D28:D28)*COUNT(D28:D28))</f>
        <v>1</v>
      </c>
      <c r="K30" s="4"/>
      <c r="L30" s="23"/>
      <c r="M30" s="65"/>
    </row>
    <row r="31" spans="2:13" ht="18.75" customHeight="1" x14ac:dyDescent="0.35">
      <c r="B31" s="28" t="s">
        <v>46</v>
      </c>
      <c r="C31" s="29">
        <v>30</v>
      </c>
      <c r="D31" s="30"/>
      <c r="E31" s="34"/>
      <c r="F31" s="35"/>
      <c r="G31" s="36">
        <v>1</v>
      </c>
      <c r="H31" s="18"/>
      <c r="I31" s="23"/>
      <c r="J31" s="23"/>
      <c r="K31" s="65"/>
    </row>
    <row r="32" spans="2:13" ht="18.75" customHeight="1" x14ac:dyDescent="0.35">
      <c r="B32" s="28" t="s">
        <v>40</v>
      </c>
      <c r="C32" s="29">
        <v>30</v>
      </c>
      <c r="D32" s="30"/>
      <c r="E32" s="34"/>
      <c r="F32" s="35"/>
      <c r="G32" s="36">
        <v>1</v>
      </c>
      <c r="H32" s="18"/>
      <c r="I32" s="23"/>
      <c r="J32" s="23"/>
      <c r="K32" s="65"/>
    </row>
    <row r="33" spans="2:15" ht="18.75" customHeight="1" x14ac:dyDescent="0.35">
      <c r="B33" s="37" t="s">
        <v>41</v>
      </c>
      <c r="C33" s="120">
        <f>MAX(D25:D32)</f>
        <v>30</v>
      </c>
      <c r="D33" s="120"/>
      <c r="E33" s="38"/>
      <c r="F33" s="31">
        <f>SUM(F25:F32)</f>
        <v>5</v>
      </c>
      <c r="G33" s="39">
        <f>SUM(G25:G32)</f>
        <v>4</v>
      </c>
      <c r="H33" s="40"/>
      <c r="I33" s="23"/>
      <c r="J33" s="23"/>
      <c r="K33" s="65"/>
    </row>
    <row r="34" spans="2:15" ht="18.75" customHeight="1" x14ac:dyDescent="0.35">
      <c r="B34" s="41" t="s">
        <v>5</v>
      </c>
      <c r="C34" s="111">
        <f>C33*G33/$C$4</f>
        <v>30</v>
      </c>
      <c r="D34" s="111"/>
      <c r="E34" s="42"/>
      <c r="G34" s="3"/>
      <c r="H34" s="43"/>
      <c r="J34" s="23"/>
      <c r="K34" s="65"/>
    </row>
    <row r="35" spans="2:15" ht="18.75" customHeight="1" x14ac:dyDescent="0.35">
      <c r="B35" s="41" t="s">
        <v>42</v>
      </c>
      <c r="C35" s="111">
        <f>C33*F33/$C$4</f>
        <v>37.5</v>
      </c>
      <c r="D35" s="111"/>
      <c r="E35" s="42"/>
      <c r="G35" s="3"/>
      <c r="H35" s="43"/>
      <c r="J35" s="23"/>
      <c r="K35" s="65"/>
    </row>
    <row r="36" spans="2:15" ht="18.75" customHeight="1" x14ac:dyDescent="0.35">
      <c r="B36" s="45"/>
      <c r="C36" s="45"/>
      <c r="D36" s="45"/>
      <c r="E36" s="45"/>
      <c r="F36" s="45"/>
      <c r="G36" s="45"/>
      <c r="H36" s="45"/>
      <c r="I36" s="45"/>
      <c r="J36" s="23"/>
      <c r="K36" s="65"/>
    </row>
    <row r="37" spans="2:15" ht="18.75" customHeight="1" x14ac:dyDescent="0.35">
      <c r="B37" s="22" t="s">
        <v>47</v>
      </c>
      <c r="C37" s="19"/>
      <c r="D37" s="19"/>
      <c r="E37" s="19"/>
      <c r="F37" s="23"/>
      <c r="G37" s="24"/>
      <c r="H37" s="24"/>
      <c r="I37" s="23"/>
      <c r="J37" s="23"/>
      <c r="K37" s="65"/>
    </row>
    <row r="38" spans="2:15" ht="31" x14ac:dyDescent="0.3">
      <c r="B38" s="7" t="s">
        <v>22</v>
      </c>
      <c r="C38" s="25" t="s">
        <v>48</v>
      </c>
      <c r="D38" s="25" t="s">
        <v>49</v>
      </c>
      <c r="F38" s="26" t="s">
        <v>25</v>
      </c>
      <c r="G38" s="27" t="s">
        <v>26</v>
      </c>
      <c r="I38" s="79"/>
      <c r="J38" s="79"/>
      <c r="K38" s="80"/>
      <c r="L38" s="79"/>
      <c r="M38" s="79"/>
    </row>
    <row r="39" spans="2:15" ht="18.75" customHeight="1" x14ac:dyDescent="0.35">
      <c r="B39" s="28" t="s">
        <v>47</v>
      </c>
      <c r="C39" s="29">
        <v>100</v>
      </c>
      <c r="D39" s="30">
        <f>C39*F39/G39</f>
        <v>0</v>
      </c>
      <c r="F39" s="31"/>
      <c r="G39" s="32">
        <v>1</v>
      </c>
      <c r="I39" s="34"/>
      <c r="J39" s="23"/>
      <c r="K39" s="69"/>
      <c r="L39" s="23"/>
      <c r="M39" s="65"/>
      <c r="O39" s="81"/>
    </row>
    <row r="40" spans="2:15" ht="18.75" customHeight="1" x14ac:dyDescent="0.35">
      <c r="B40" s="41" t="s">
        <v>7</v>
      </c>
      <c r="C40" s="111">
        <f>SUM(C39:C39)/$C$4</f>
        <v>25</v>
      </c>
      <c r="D40" s="111"/>
      <c r="E40" s="42"/>
      <c r="G40" s="43"/>
      <c r="H40" s="43"/>
      <c r="J40" s="23"/>
      <c r="K40" s="65"/>
    </row>
    <row r="41" spans="2:15" ht="18.75" customHeight="1" x14ac:dyDescent="0.35">
      <c r="B41" s="44" t="s">
        <v>42</v>
      </c>
      <c r="C41" s="111">
        <f>SUM(D39:D39)/$C$4</f>
        <v>0</v>
      </c>
      <c r="D41" s="111"/>
      <c r="E41" s="42"/>
      <c r="G41" s="43"/>
      <c r="H41" s="43"/>
      <c r="J41" s="23"/>
      <c r="K41" s="65"/>
    </row>
    <row r="42" spans="2:15" ht="18.75" customHeight="1" x14ac:dyDescent="0.35">
      <c r="B42" s="45"/>
      <c r="C42" s="45"/>
      <c r="D42" s="45"/>
      <c r="E42" s="45"/>
      <c r="F42" s="45"/>
      <c r="G42" s="45"/>
      <c r="H42" s="45"/>
      <c r="I42" s="45"/>
      <c r="J42" s="23"/>
      <c r="K42" s="65"/>
    </row>
    <row r="43" spans="2:15" s="2" customFormat="1" ht="18.75" customHeight="1" x14ac:dyDescent="0.45">
      <c r="B43" s="46" t="s">
        <v>50</v>
      </c>
      <c r="C43" s="47"/>
      <c r="D43" s="48"/>
      <c r="E43" s="48"/>
      <c r="F43" s="48"/>
      <c r="G43" s="49"/>
      <c r="H43" s="49"/>
      <c r="I43" s="82"/>
      <c r="J43" s="48"/>
      <c r="K43" s="48"/>
      <c r="L43" s="48"/>
    </row>
    <row r="44" spans="2:15" s="2" customFormat="1" ht="37" x14ac:dyDescent="0.3">
      <c r="B44" s="7" t="s">
        <v>22</v>
      </c>
      <c r="C44" s="25" t="s">
        <v>51</v>
      </c>
      <c r="D44" s="25" t="s">
        <v>52</v>
      </c>
      <c r="F44" s="50" t="s">
        <v>25</v>
      </c>
      <c r="G44" s="51" t="s">
        <v>26</v>
      </c>
      <c r="H44" s="52"/>
      <c r="I44" s="83"/>
      <c r="J44" s="84" t="s">
        <v>53</v>
      </c>
      <c r="K44" s="85" t="s">
        <v>54</v>
      </c>
      <c r="L44" s="84" t="s">
        <v>55</v>
      </c>
      <c r="M44" s="84" t="s">
        <v>56</v>
      </c>
      <c r="N44" s="84" t="s">
        <v>57</v>
      </c>
    </row>
    <row r="45" spans="2:15" s="2" customFormat="1" ht="18.75" customHeight="1" x14ac:dyDescent="0.45">
      <c r="B45" s="28" t="s">
        <v>58</v>
      </c>
      <c r="C45" s="29">
        <v>40</v>
      </c>
      <c r="D45" s="29">
        <f>C45/L45</f>
        <v>40</v>
      </c>
      <c r="F45" s="53"/>
      <c r="G45" s="54">
        <f>L45</f>
        <v>1</v>
      </c>
      <c r="H45" s="52"/>
      <c r="I45" s="86" t="s">
        <v>59</v>
      </c>
      <c r="J45" s="87">
        <v>1</v>
      </c>
      <c r="K45" s="88"/>
      <c r="L45" s="89">
        <v>1</v>
      </c>
      <c r="M45" s="90">
        <f>C45/L45</f>
        <v>40</v>
      </c>
      <c r="N45" s="91"/>
    </row>
    <row r="46" spans="2:15" s="2" customFormat="1" ht="18.75" customHeight="1" x14ac:dyDescent="0.45">
      <c r="B46" s="28" t="s">
        <v>60</v>
      </c>
      <c r="C46" s="29">
        <f>K46*8</f>
        <v>0</v>
      </c>
      <c r="D46" s="29" t="e">
        <f>C46/L46</f>
        <v>#DIV/0!</v>
      </c>
      <c r="F46" s="53"/>
      <c r="G46" s="54">
        <f>L46</f>
        <v>0</v>
      </c>
      <c r="H46" s="52"/>
      <c r="I46" s="86" t="s">
        <v>59</v>
      </c>
      <c r="J46" s="87">
        <f>ROUNDUP(C46/$C$48,0)</f>
        <v>0</v>
      </c>
      <c r="K46" s="88"/>
      <c r="L46" s="89">
        <f>IF(J46&gt;10,10,J46)</f>
        <v>0</v>
      </c>
      <c r="M46" s="90" t="e">
        <f>C46/L46</f>
        <v>#DIV/0!</v>
      </c>
      <c r="N46" s="91">
        <v>1</v>
      </c>
    </row>
    <row r="47" spans="2:15" s="2" customFormat="1" ht="18.75" customHeight="1" x14ac:dyDescent="0.45">
      <c r="B47" s="55" t="s">
        <v>61</v>
      </c>
      <c r="C47" s="29">
        <v>40</v>
      </c>
      <c r="D47" s="29">
        <f>C47/L47</f>
        <v>40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40</v>
      </c>
      <c r="N47" s="91"/>
    </row>
    <row r="48" spans="2:15" s="2" customFormat="1" ht="18.75" customHeight="1" x14ac:dyDescent="0.45">
      <c r="B48" s="28" t="s">
        <v>62</v>
      </c>
      <c r="C48" s="29">
        <f>IF($D$4&gt;0.3,($D$4+0.3)/0.8*60,(0.3+0.4)/0.8*60)</f>
        <v>52.5</v>
      </c>
      <c r="D48" s="29">
        <f>C48</f>
        <v>52.5</v>
      </c>
      <c r="F48" s="53">
        <v>1</v>
      </c>
      <c r="G48" s="54">
        <f t="shared" ref="G48:G49" si="0">L48</f>
        <v>0</v>
      </c>
      <c r="H48" s="52"/>
      <c r="I48" s="86"/>
      <c r="J48" s="87"/>
      <c r="K48" s="88"/>
      <c r="L48" s="89"/>
      <c r="M48" s="90">
        <f>D48</f>
        <v>52.5</v>
      </c>
      <c r="N48" s="91"/>
    </row>
    <row r="49" spans="2:15" s="2" customFormat="1" ht="18.75" customHeight="1" x14ac:dyDescent="0.45">
      <c r="B49" s="56" t="s">
        <v>63</v>
      </c>
      <c r="C49" s="29">
        <v>40</v>
      </c>
      <c r="D49" s="29">
        <f>C49/G49</f>
        <v>40</v>
      </c>
      <c r="F49" s="53"/>
      <c r="G49" s="54">
        <f t="shared" si="0"/>
        <v>1</v>
      </c>
      <c r="H49" s="52"/>
      <c r="I49" s="86" t="s">
        <v>59</v>
      </c>
      <c r="J49" s="87">
        <f>ROUNDUP(C49/$C$48,0)</f>
        <v>1</v>
      </c>
      <c r="K49" s="88"/>
      <c r="L49" s="89">
        <v>1</v>
      </c>
      <c r="M49" s="90">
        <f>C49/L49</f>
        <v>40</v>
      </c>
      <c r="N49" s="91"/>
    </row>
    <row r="50" spans="2:15" s="2" customFormat="1" ht="18.75" customHeight="1" x14ac:dyDescent="0.45">
      <c r="B50" s="28" t="s">
        <v>64</v>
      </c>
      <c r="C50" s="29">
        <v>40</v>
      </c>
      <c r="D50" s="29">
        <f t="shared" ref="D50:D52" si="1">C50/G50</f>
        <v>40</v>
      </c>
      <c r="F50" s="53"/>
      <c r="G50" s="54">
        <v>1</v>
      </c>
      <c r="H50" s="52"/>
      <c r="I50" s="86" t="s">
        <v>59</v>
      </c>
      <c r="J50" s="87">
        <f>ROUNDUP(C50/$C$48,0)</f>
        <v>1</v>
      </c>
      <c r="K50" s="88"/>
      <c r="L50" s="89">
        <v>1</v>
      </c>
      <c r="M50" s="90">
        <f t="shared" ref="M50:M52" si="2">C50/L50</f>
        <v>40</v>
      </c>
      <c r="N50" s="91"/>
    </row>
    <row r="51" spans="2:15" s="2" customFormat="1" ht="18.75" customHeight="1" x14ac:dyDescent="0.45">
      <c r="B51" s="28" t="s">
        <v>66</v>
      </c>
      <c r="C51" s="29">
        <v>40</v>
      </c>
      <c r="D51" s="29">
        <f t="shared" si="1"/>
        <v>40</v>
      </c>
      <c r="F51" s="53"/>
      <c r="G51" s="54">
        <v>1</v>
      </c>
      <c r="H51" s="52"/>
      <c r="I51" s="86" t="s">
        <v>59</v>
      </c>
      <c r="J51" s="87">
        <f>ROUNDUP(C51/$C$48,0)</f>
        <v>1</v>
      </c>
      <c r="K51" s="88"/>
      <c r="L51" s="89">
        <v>1</v>
      </c>
      <c r="M51" s="90">
        <f t="shared" si="2"/>
        <v>40</v>
      </c>
      <c r="N51" s="91"/>
    </row>
    <row r="52" spans="2:15" s="2" customFormat="1" ht="18.75" customHeight="1" x14ac:dyDescent="0.45">
      <c r="B52" s="28" t="s">
        <v>67</v>
      </c>
      <c r="C52" s="29">
        <v>40</v>
      </c>
      <c r="D52" s="29">
        <f t="shared" si="1"/>
        <v>20</v>
      </c>
      <c r="F52" s="53"/>
      <c r="G52" s="54">
        <v>2</v>
      </c>
      <c r="H52" s="52"/>
      <c r="I52" s="86" t="s">
        <v>59</v>
      </c>
      <c r="J52" s="87">
        <f>ROUNDUP(C52/$C$48,0)</f>
        <v>1</v>
      </c>
      <c r="K52" s="88"/>
      <c r="L52" s="89">
        <v>4</v>
      </c>
      <c r="M52" s="90">
        <f t="shared" si="2"/>
        <v>10</v>
      </c>
      <c r="N52" s="91"/>
    </row>
    <row r="53" spans="2:15" s="2" customFormat="1" ht="18.75" customHeight="1" x14ac:dyDescent="0.45">
      <c r="B53" s="41" t="s">
        <v>6</v>
      </c>
      <c r="C53" s="111"/>
      <c r="D53" s="111"/>
      <c r="E53" s="57"/>
      <c r="F53" s="2">
        <f>SUM(F45:F52)</f>
        <v>1</v>
      </c>
      <c r="G53" s="2">
        <f>SUM(G45:G52)</f>
        <v>7</v>
      </c>
      <c r="H53" s="52"/>
      <c r="I53" s="86" t="s">
        <v>68</v>
      </c>
      <c r="J53" s="87">
        <f>SUM(J45:J52)</f>
        <v>6</v>
      </c>
      <c r="K53" s="88"/>
      <c r="L53" s="92">
        <f>SUM(L45:L52)</f>
        <v>9</v>
      </c>
      <c r="M53" s="93" t="e">
        <f>MAX(M45:M52)*L53</f>
        <v>#DIV/0!</v>
      </c>
      <c r="N53" s="89"/>
    </row>
    <row r="54" spans="2:15" s="2" customFormat="1" ht="18.75" customHeight="1" x14ac:dyDescent="0.45">
      <c r="B54" s="58" t="s">
        <v>42</v>
      </c>
      <c r="C54" s="111"/>
      <c r="D54" s="111"/>
      <c r="E54" s="59"/>
      <c r="F54" s="60"/>
      <c r="G54" s="61"/>
      <c r="H54" s="61"/>
      <c r="I54" s="94"/>
      <c r="J54" s="60"/>
      <c r="K54" s="60"/>
      <c r="L54" s="60"/>
    </row>
    <row r="56" spans="2:15" ht="18.75" customHeight="1" x14ac:dyDescent="0.35">
      <c r="B56" s="22" t="s">
        <v>69</v>
      </c>
      <c r="C56" s="19"/>
      <c r="D56" s="19"/>
      <c r="E56" s="19"/>
      <c r="F56" s="23"/>
      <c r="G56" s="24"/>
      <c r="H56" s="24"/>
      <c r="I56" s="23"/>
      <c r="J56" s="23"/>
      <c r="K56" s="65"/>
    </row>
    <row r="57" spans="2:15" ht="31" x14ac:dyDescent="0.3">
      <c r="B57" s="7" t="s">
        <v>22</v>
      </c>
      <c r="C57" s="25" t="s">
        <v>48</v>
      </c>
      <c r="D57" s="25" t="s">
        <v>49</v>
      </c>
      <c r="F57" s="26" t="s">
        <v>25</v>
      </c>
      <c r="G57" s="27" t="s">
        <v>26</v>
      </c>
      <c r="I57" s="79"/>
      <c r="J57" s="79"/>
      <c r="K57" s="80"/>
      <c r="L57" s="79"/>
      <c r="M57" s="79"/>
    </row>
    <row r="58" spans="2:15" ht="18.75" customHeight="1" x14ac:dyDescent="0.35">
      <c r="B58" s="28" t="s">
        <v>69</v>
      </c>
      <c r="C58" s="29">
        <v>0</v>
      </c>
      <c r="D58" s="30">
        <f>C58*F58</f>
        <v>0</v>
      </c>
      <c r="F58" s="31">
        <v>1</v>
      </c>
      <c r="G58" s="32">
        <v>1</v>
      </c>
      <c r="I58" s="34"/>
      <c r="J58" s="23"/>
      <c r="K58" s="69"/>
      <c r="L58" s="23"/>
      <c r="M58" s="65"/>
      <c r="O58" s="81"/>
    </row>
    <row r="59" spans="2:15" ht="18.75" customHeight="1" x14ac:dyDescent="0.35">
      <c r="B59" s="41" t="s">
        <v>8</v>
      </c>
      <c r="C59" s="111">
        <f>SUM(C58:C58)*G58/$C$4</f>
        <v>0</v>
      </c>
      <c r="D59" s="111"/>
      <c r="E59" s="42"/>
      <c r="G59" s="43"/>
      <c r="H59" s="43"/>
      <c r="J59" s="23"/>
      <c r="K59" s="65"/>
    </row>
    <row r="60" spans="2:15" ht="18.75" customHeight="1" x14ac:dyDescent="0.35">
      <c r="B60" s="44" t="s">
        <v>42</v>
      </c>
      <c r="C60" s="111">
        <f>SUM(D58:D58)/$C$4</f>
        <v>0</v>
      </c>
      <c r="D60" s="111"/>
      <c r="E60" s="42"/>
      <c r="G60" s="43"/>
      <c r="H60" s="43"/>
      <c r="J60" s="23"/>
      <c r="K60" s="65"/>
    </row>
    <row r="61" spans="2:15" ht="18.75" customHeight="1" x14ac:dyDescent="0.35">
      <c r="B61" s="45"/>
      <c r="C61" s="45"/>
      <c r="D61" s="45"/>
      <c r="E61" s="45"/>
      <c r="F61" s="45"/>
      <c r="G61" s="45"/>
      <c r="H61" s="45"/>
      <c r="I61" s="45"/>
      <c r="J61" s="23"/>
      <c r="K61" s="65"/>
    </row>
    <row r="62" spans="2:15" ht="18.75" customHeight="1" x14ac:dyDescent="0.4">
      <c r="B62" s="62" t="s">
        <v>70</v>
      </c>
      <c r="C62" s="19"/>
      <c r="D62" s="19"/>
      <c r="E62" s="19"/>
      <c r="F62" s="23"/>
      <c r="G62" s="24"/>
      <c r="H62" s="24"/>
      <c r="I62" s="23"/>
      <c r="J62" s="23"/>
      <c r="K62" s="65"/>
    </row>
    <row r="63" spans="2:15" ht="31" x14ac:dyDescent="0.3">
      <c r="B63" s="7" t="s">
        <v>22</v>
      </c>
      <c r="C63" s="25" t="s">
        <v>48</v>
      </c>
      <c r="D63" s="25" t="s">
        <v>49</v>
      </c>
      <c r="F63" s="26" t="s">
        <v>25</v>
      </c>
      <c r="G63" s="27" t="s">
        <v>26</v>
      </c>
      <c r="I63" s="79"/>
      <c r="J63" s="79"/>
      <c r="K63" s="80"/>
      <c r="L63" s="79"/>
      <c r="M63" s="79"/>
    </row>
    <row r="64" spans="2:15" ht="18.75" customHeight="1" x14ac:dyDescent="0.35">
      <c r="B64" s="55" t="s">
        <v>70</v>
      </c>
      <c r="C64" s="29">
        <v>0</v>
      </c>
      <c r="D64" s="30">
        <f>C64*F64</f>
        <v>0</v>
      </c>
      <c r="F64" s="31"/>
      <c r="G64" s="32">
        <v>1</v>
      </c>
      <c r="I64" s="34"/>
      <c r="J64" s="23"/>
      <c r="K64" s="69"/>
      <c r="L64" s="23"/>
      <c r="M64" s="65"/>
      <c r="O64" s="81"/>
    </row>
    <row r="65" spans="2:14" ht="18.75" customHeight="1" x14ac:dyDescent="0.35">
      <c r="B65" s="41" t="s">
        <v>9</v>
      </c>
      <c r="C65" s="111">
        <f>SUM(C64:C64)*G64</f>
        <v>0</v>
      </c>
      <c r="D65" s="111"/>
      <c r="E65" s="42"/>
      <c r="G65" s="43"/>
      <c r="H65" s="43"/>
      <c r="J65" s="23"/>
      <c r="K65" s="65"/>
    </row>
    <row r="66" spans="2:14" ht="18.75" customHeight="1" x14ac:dyDescent="0.35">
      <c r="B66" s="44" t="s">
        <v>42</v>
      </c>
      <c r="C66" s="111">
        <f>SUM(D64:D64)/$C$4</f>
        <v>0</v>
      </c>
      <c r="D66" s="111"/>
      <c r="E66" s="42"/>
      <c r="G66" s="43"/>
      <c r="H66" s="43"/>
      <c r="J66" s="23"/>
      <c r="K66" s="65"/>
    </row>
    <row r="67" spans="2:14" ht="18.75" customHeight="1" x14ac:dyDescent="0.35">
      <c r="B67" s="45"/>
      <c r="C67" s="45"/>
      <c r="D67" s="45"/>
      <c r="E67" s="45"/>
      <c r="F67" s="45"/>
      <c r="G67" s="45"/>
      <c r="H67" s="45"/>
      <c r="I67" s="45"/>
      <c r="J67" s="23"/>
      <c r="K67" s="65"/>
    </row>
    <row r="68" spans="2:14" x14ac:dyDescent="0.35">
      <c r="B68" s="95" t="s">
        <v>71</v>
      </c>
      <c r="C68" s="96"/>
      <c r="D68" s="96"/>
      <c r="E68" s="96"/>
      <c r="F68" s="97"/>
      <c r="G68" s="98"/>
      <c r="H68" s="99"/>
      <c r="I68" s="99"/>
      <c r="J68" s="99"/>
      <c r="K68" s="99"/>
      <c r="L68" s="99"/>
      <c r="M68" s="99"/>
      <c r="N68" s="99"/>
    </row>
    <row r="69" spans="2:14" ht="31" x14ac:dyDescent="0.35">
      <c r="B69" s="7" t="s">
        <v>22</v>
      </c>
      <c r="C69" s="25" t="s">
        <v>48</v>
      </c>
      <c r="D69" s="25" t="s">
        <v>49</v>
      </c>
      <c r="E69" s="100"/>
      <c r="F69" s="26" t="s">
        <v>25</v>
      </c>
      <c r="G69" s="27" t="s">
        <v>26</v>
      </c>
      <c r="H69" s="99"/>
      <c r="I69" s="99"/>
      <c r="J69" s="99"/>
      <c r="K69" s="99"/>
      <c r="L69" s="99"/>
      <c r="M69" s="99"/>
      <c r="N69" s="99"/>
    </row>
    <row r="70" spans="2:14" ht="20.25" customHeight="1" x14ac:dyDescent="0.35">
      <c r="B70" s="101" t="s">
        <v>2</v>
      </c>
      <c r="C70" s="102">
        <v>30</v>
      </c>
      <c r="D70" s="103">
        <f>C70*F70</f>
        <v>30</v>
      </c>
      <c r="E70" s="100"/>
      <c r="F70" s="104">
        <v>1</v>
      </c>
      <c r="G70" s="105">
        <v>1</v>
      </c>
      <c r="H70" s="99"/>
      <c r="I70" s="99"/>
      <c r="J70" s="99"/>
      <c r="K70" s="99"/>
      <c r="L70" s="99"/>
      <c r="M70" s="99"/>
      <c r="N70" s="99"/>
    </row>
    <row r="71" spans="2:14" ht="20.25" customHeight="1" x14ac:dyDescent="0.35">
      <c r="B71" s="106" t="s">
        <v>72</v>
      </c>
      <c r="C71" s="102"/>
      <c r="D71" s="103"/>
      <c r="E71" s="100"/>
      <c r="F71" s="104"/>
      <c r="G71" s="105">
        <v>1</v>
      </c>
      <c r="H71" s="99"/>
      <c r="I71" s="99"/>
      <c r="J71" s="99"/>
      <c r="K71" s="99"/>
      <c r="L71" s="99"/>
      <c r="M71" s="99"/>
      <c r="N71" s="99"/>
    </row>
    <row r="72" spans="2:14" ht="20.25" customHeight="1" x14ac:dyDescent="0.35">
      <c r="B72" s="106" t="s">
        <v>11</v>
      </c>
      <c r="C72" s="102"/>
      <c r="D72" s="103"/>
      <c r="E72" s="100"/>
      <c r="F72" s="104"/>
      <c r="G72" s="105"/>
      <c r="H72" s="99"/>
      <c r="I72" s="99"/>
      <c r="J72" s="99"/>
      <c r="K72" s="99"/>
      <c r="L72" s="99"/>
      <c r="M72" s="99"/>
      <c r="N72" s="99"/>
    </row>
    <row r="73" spans="2:14" ht="20.25" customHeight="1" x14ac:dyDescent="0.35">
      <c r="B73" s="106" t="s">
        <v>73</v>
      </c>
      <c r="C73" s="102">
        <f>D73*G73/F73</f>
        <v>20</v>
      </c>
      <c r="D73" s="102">
        <v>10</v>
      </c>
      <c r="E73" s="100"/>
      <c r="F73" s="104">
        <v>1</v>
      </c>
      <c r="G73" s="105">
        <v>2</v>
      </c>
      <c r="H73" s="99"/>
      <c r="I73" s="99"/>
      <c r="J73" s="99"/>
      <c r="K73" s="99"/>
      <c r="L73" s="99"/>
      <c r="M73" s="99"/>
      <c r="N73" s="99"/>
    </row>
    <row r="74" spans="2:14" ht="20.25" customHeight="1" x14ac:dyDescent="0.35">
      <c r="B74" s="106" t="s">
        <v>74</v>
      </c>
      <c r="C74" s="102">
        <f>D73*G74/F73</f>
        <v>20</v>
      </c>
      <c r="D74" s="103"/>
      <c r="E74" s="100"/>
      <c r="F74" s="104"/>
      <c r="G74" s="105">
        <v>2</v>
      </c>
      <c r="H74" s="99"/>
      <c r="I74" s="99"/>
      <c r="J74" s="99"/>
      <c r="K74" s="99"/>
      <c r="L74" s="99"/>
      <c r="M74" s="99"/>
      <c r="N74" s="99"/>
    </row>
    <row r="75" spans="2:14" ht="20.25" customHeight="1" x14ac:dyDescent="0.35">
      <c r="B75" s="106" t="s">
        <v>75</v>
      </c>
      <c r="C75" s="102">
        <f>D73*G75/F73</f>
        <v>20</v>
      </c>
      <c r="D75" s="103"/>
      <c r="E75" s="100"/>
      <c r="F75" s="104"/>
      <c r="G75" s="105">
        <v>2</v>
      </c>
      <c r="H75" s="99"/>
      <c r="I75" s="99"/>
      <c r="J75" s="99"/>
      <c r="K75" s="99"/>
      <c r="L75" s="99"/>
      <c r="M75" s="99"/>
      <c r="N75" s="99"/>
    </row>
    <row r="76" spans="2:14" ht="20.25" customHeight="1" x14ac:dyDescent="0.35">
      <c r="B76" s="41" t="s">
        <v>10</v>
      </c>
      <c r="C76" s="112">
        <f>SUM(C70:C75)</f>
        <v>90</v>
      </c>
      <c r="D76" s="113"/>
      <c r="E76" s="107"/>
      <c r="F76" s="100"/>
      <c r="G76" s="108"/>
      <c r="H76" s="99"/>
      <c r="I76" s="99"/>
      <c r="J76" s="99"/>
      <c r="K76" s="99"/>
      <c r="L76" s="99"/>
      <c r="M76" s="99"/>
      <c r="N76" s="99"/>
    </row>
    <row r="77" spans="2:14" ht="20.25" customHeight="1" x14ac:dyDescent="0.35">
      <c r="B77" s="109" t="s">
        <v>42</v>
      </c>
      <c r="C77" s="112">
        <f>SUM(D70:D75)</f>
        <v>40</v>
      </c>
      <c r="D77" s="113"/>
      <c r="E77" s="107"/>
      <c r="F77" s="100"/>
      <c r="G77" s="108"/>
      <c r="H77" s="99"/>
      <c r="I77" s="99"/>
      <c r="J77" s="99"/>
      <c r="K77" s="99"/>
      <c r="L77" s="99"/>
      <c r="M77" s="99"/>
      <c r="N77" s="99"/>
    </row>
  </sheetData>
  <mergeCells count="22">
    <mergeCell ref="C41:D41"/>
    <mergeCell ref="B1:F1"/>
    <mergeCell ref="C2:F2"/>
    <mergeCell ref="C19:D19"/>
    <mergeCell ref="C20:D20"/>
    <mergeCell ref="C21:D21"/>
    <mergeCell ref="C66:D66"/>
    <mergeCell ref="C76:D76"/>
    <mergeCell ref="C77:D77"/>
    <mergeCell ref="B3:B4"/>
    <mergeCell ref="C4:C5"/>
    <mergeCell ref="D4:D5"/>
    <mergeCell ref="B8:G9"/>
    <mergeCell ref="C53:D53"/>
    <mergeCell ref="C54:D54"/>
    <mergeCell ref="C59:D59"/>
    <mergeCell ref="C60:D60"/>
    <mergeCell ref="C65:D65"/>
    <mergeCell ref="C33:D33"/>
    <mergeCell ref="C34:D34"/>
    <mergeCell ref="C35:D35"/>
    <mergeCell ref="C40:D40"/>
  </mergeCells>
  <phoneticPr fontId="31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FFFF00"/>
  </sheetPr>
  <dimension ref="B1:O78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hidden="1" customWidth="1" outlineLevel="1"/>
    <col min="10" max="11" width="10.5" style="3" hidden="1" customWidth="1" outlineLevel="1"/>
    <col min="12" max="12" width="15.33203125" style="3" hidden="1" customWidth="1" outlineLevel="1"/>
    <col min="13" max="13" width="12.58203125" style="3" hidden="1" customWidth="1" outlineLevel="1"/>
    <col min="14" max="14" width="15.58203125" style="3" customWidth="1" collapsed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x14ac:dyDescent="0.35">
      <c r="B2" s="7" t="s">
        <v>13</v>
      </c>
      <c r="C2" s="124" t="s">
        <v>85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4</v>
      </c>
      <c r="D4" s="118">
        <v>0.26</v>
      </c>
      <c r="E4" s="12">
        <f>K15</f>
        <v>228</v>
      </c>
      <c r="F4" s="12"/>
      <c r="L4" s="6"/>
      <c r="M4" s="8"/>
    </row>
    <row r="5" spans="2:14" ht="18.75" customHeight="1" x14ac:dyDescent="0.35">
      <c r="B5" s="11"/>
      <c r="C5" s="117"/>
      <c r="D5" s="118"/>
      <c r="E5" s="12">
        <f>K28</f>
        <v>300</v>
      </c>
      <c r="F5" s="12"/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C20+C34+C54+C77+C40+C60+C66</f>
        <v>285</v>
      </c>
      <c r="D6" s="15">
        <f>(C6-F6)/0.8</f>
        <v>318.75</v>
      </c>
      <c r="E6" s="16" t="s">
        <v>20</v>
      </c>
      <c r="F6" s="17">
        <f>VLOOKUP(E6,$B$68:$C$82,2,0)</f>
        <v>30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C21+C35+C55+C78+C41+C61+C67</f>
        <v>116.25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/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30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26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228</v>
      </c>
      <c r="L15" s="73">
        <v>5</v>
      </c>
      <c r="M15" s="74">
        <v>0.64400000000000002</v>
      </c>
    </row>
    <row r="16" spans="2:14" ht="18.75" customHeight="1" x14ac:dyDescent="0.35">
      <c r="B16" s="28" t="s">
        <v>37</v>
      </c>
      <c r="C16" s="29"/>
      <c r="D16" s="30">
        <f>($D$4+0.15)/0.95*60</f>
        <v>25.894736842105299</v>
      </c>
      <c r="F16" s="31">
        <v>1</v>
      </c>
      <c r="G16" s="32"/>
      <c r="I16" s="75"/>
      <c r="J16" s="76"/>
      <c r="K16" s="4"/>
      <c r="L16" s="77"/>
      <c r="M16" s="65"/>
    </row>
    <row r="17" spans="2:13" ht="18.75" customHeight="1" x14ac:dyDescent="0.35">
      <c r="B17" s="28" t="s">
        <v>38</v>
      </c>
      <c r="C17" s="29"/>
      <c r="D17" s="30">
        <v>30</v>
      </c>
      <c r="F17" s="31"/>
      <c r="G17" s="32"/>
      <c r="I17" s="73" t="s">
        <v>39</v>
      </c>
      <c r="J17" s="78">
        <f>SUM(D15:D15)/(MAX(D15:D15)*COUNT(D15:D15))</f>
        <v>1</v>
      </c>
      <c r="K17" s="4"/>
      <c r="L17" s="23"/>
      <c r="M17" s="65"/>
    </row>
    <row r="18" spans="2:13" ht="18.75" customHeight="1" x14ac:dyDescent="0.35">
      <c r="B18" s="28" t="s">
        <v>40</v>
      </c>
      <c r="C18" s="29">
        <v>30</v>
      </c>
      <c r="D18" s="30"/>
      <c r="E18" s="34"/>
      <c r="F18" s="35"/>
      <c r="G18" s="36">
        <v>1</v>
      </c>
      <c r="H18" s="18"/>
      <c r="I18" s="23"/>
      <c r="J18" s="23"/>
      <c r="K18" s="65"/>
    </row>
    <row r="19" spans="2:13" ht="18.75" customHeight="1" x14ac:dyDescent="0.35">
      <c r="B19" s="37" t="s">
        <v>41</v>
      </c>
      <c r="C19" s="120">
        <f>MAX(D12:D18)</f>
        <v>30</v>
      </c>
      <c r="D19" s="120"/>
      <c r="E19" s="38"/>
      <c r="F19" s="31">
        <f>SUM(F12:F18)</f>
        <v>3</v>
      </c>
      <c r="G19" s="39">
        <f>SUM(G12:G18)</f>
        <v>4</v>
      </c>
      <c r="H19" s="40"/>
      <c r="I19" s="23"/>
      <c r="J19" s="23"/>
      <c r="K19" s="65"/>
    </row>
    <row r="20" spans="2:13" ht="18.75" customHeight="1" x14ac:dyDescent="0.35">
      <c r="B20" s="41" t="s">
        <v>4</v>
      </c>
      <c r="C20" s="111">
        <f>C19*G19/$C$4</f>
        <v>30</v>
      </c>
      <c r="D20" s="111"/>
      <c r="E20" s="42"/>
      <c r="G20" s="3"/>
      <c r="H20" s="43"/>
      <c r="J20" s="23"/>
      <c r="K20" s="65"/>
    </row>
    <row r="21" spans="2:13" ht="18.75" customHeight="1" x14ac:dyDescent="0.35">
      <c r="B21" s="44" t="s">
        <v>42</v>
      </c>
      <c r="C21" s="111">
        <f>C19*F19/$C$4</f>
        <v>22.5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5"/>
      <c r="C22" s="45"/>
      <c r="D22" s="45"/>
      <c r="E22" s="45"/>
      <c r="F22" s="45"/>
      <c r="G22" s="45"/>
      <c r="H22" s="45"/>
      <c r="I22" s="45"/>
      <c r="J22" s="23"/>
      <c r="K22" s="65"/>
    </row>
    <row r="23" spans="2:13" ht="18.75" customHeight="1" x14ac:dyDescent="0.35">
      <c r="B23" s="22" t="s">
        <v>43</v>
      </c>
      <c r="C23" s="19"/>
      <c r="D23" s="19"/>
      <c r="E23" s="19"/>
      <c r="F23" s="23"/>
      <c r="G23" s="24"/>
      <c r="H23" s="24"/>
      <c r="I23" s="23"/>
      <c r="J23" s="23"/>
      <c r="K23" s="65"/>
    </row>
    <row r="24" spans="2:13" ht="31" x14ac:dyDescent="0.3">
      <c r="B24" s="7" t="s">
        <v>22</v>
      </c>
      <c r="C24" s="25" t="s">
        <v>23</v>
      </c>
      <c r="D24" s="25" t="s">
        <v>24</v>
      </c>
      <c r="F24" s="26" t="s">
        <v>25</v>
      </c>
      <c r="G24" s="27" t="s">
        <v>26</v>
      </c>
      <c r="I24" s="66" t="s">
        <v>27</v>
      </c>
      <c r="J24" s="67" t="s">
        <v>28</v>
      </c>
      <c r="K24" s="68" t="s">
        <v>29</v>
      </c>
      <c r="L24" s="66" t="s">
        <v>30</v>
      </c>
      <c r="M24" s="66" t="s">
        <v>31</v>
      </c>
    </row>
    <row r="25" spans="2:13" ht="18.75" customHeight="1" x14ac:dyDescent="0.35">
      <c r="B25" s="28" t="s">
        <v>32</v>
      </c>
      <c r="C25" s="29">
        <v>30</v>
      </c>
      <c r="D25" s="30"/>
      <c r="F25" s="31"/>
      <c r="G25" s="32">
        <v>1</v>
      </c>
      <c r="I25" s="34"/>
      <c r="J25" s="23"/>
      <c r="K25" s="69"/>
      <c r="L25" s="23"/>
      <c r="M25" s="65"/>
    </row>
    <row r="26" spans="2:13" ht="18.75" customHeight="1" x14ac:dyDescent="0.35">
      <c r="B26" s="28" t="s">
        <v>33</v>
      </c>
      <c r="C26" s="29"/>
      <c r="D26" s="33">
        <v>30</v>
      </c>
      <c r="F26" s="31">
        <v>1</v>
      </c>
      <c r="G26" s="32"/>
      <c r="I26" s="34"/>
      <c r="J26" s="23"/>
      <c r="K26" s="69"/>
      <c r="L26" s="23"/>
      <c r="M26" s="65"/>
    </row>
    <row r="27" spans="2:13" ht="18.75" customHeight="1" x14ac:dyDescent="0.35">
      <c r="B27" s="28" t="s">
        <v>34</v>
      </c>
      <c r="C27" s="29"/>
      <c r="D27" s="30">
        <v>30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44</v>
      </c>
      <c r="C28" s="29"/>
      <c r="D28" s="30">
        <v>35</v>
      </c>
      <c r="F28" s="31">
        <v>1</v>
      </c>
      <c r="G28" s="32">
        <v>1</v>
      </c>
      <c r="I28" s="70">
        <v>0.63</v>
      </c>
      <c r="J28" s="71">
        <f>3600/I28/150000</f>
        <v>3.8095238095238099E-2</v>
      </c>
      <c r="K28" s="72">
        <v>300</v>
      </c>
      <c r="L28" s="73">
        <v>5</v>
      </c>
      <c r="M28" s="74">
        <v>0.64400000000000002</v>
      </c>
    </row>
    <row r="29" spans="2:13" ht="18.75" customHeight="1" x14ac:dyDescent="0.35">
      <c r="B29" s="28" t="s">
        <v>37</v>
      </c>
      <c r="C29" s="29"/>
      <c r="D29" s="30">
        <f>($D$4+0.15)/0.95*60</f>
        <v>25.894736842105299</v>
      </c>
      <c r="F29" s="31">
        <v>1</v>
      </c>
      <c r="G29" s="32"/>
      <c r="I29" s="75"/>
      <c r="J29" s="76"/>
      <c r="K29" s="4"/>
      <c r="L29" s="77"/>
      <c r="M29" s="65"/>
    </row>
    <row r="30" spans="2:13" ht="18.75" customHeight="1" x14ac:dyDescent="0.35">
      <c r="B30" s="28" t="s">
        <v>38</v>
      </c>
      <c r="C30" s="29"/>
      <c r="D30" s="30">
        <v>30</v>
      </c>
      <c r="F30" s="31">
        <v>1</v>
      </c>
      <c r="G30" s="32"/>
      <c r="I30" s="73" t="s">
        <v>39</v>
      </c>
      <c r="J30" s="78">
        <f>SUM(D28:D28)/(MAX(D28:D28)*COUNT(D28:D28))</f>
        <v>1</v>
      </c>
      <c r="K30" s="4"/>
      <c r="L30" s="23"/>
      <c r="M30" s="65"/>
    </row>
    <row r="31" spans="2:13" ht="18.75" customHeight="1" x14ac:dyDescent="0.35">
      <c r="B31" s="28" t="s">
        <v>46</v>
      </c>
      <c r="C31" s="29">
        <v>30</v>
      </c>
      <c r="D31" s="30"/>
      <c r="E31" s="34"/>
      <c r="F31" s="35"/>
      <c r="G31" s="36">
        <v>1</v>
      </c>
      <c r="H31" s="18"/>
      <c r="I31" s="23"/>
      <c r="J31" s="23"/>
      <c r="K31" s="65"/>
    </row>
    <row r="32" spans="2:13" ht="18.75" customHeight="1" x14ac:dyDescent="0.35">
      <c r="B32" s="28" t="s">
        <v>40</v>
      </c>
      <c r="C32" s="29">
        <v>30</v>
      </c>
      <c r="D32" s="30"/>
      <c r="E32" s="34"/>
      <c r="F32" s="35"/>
      <c r="G32" s="36">
        <v>1</v>
      </c>
      <c r="H32" s="18"/>
      <c r="I32" s="23"/>
      <c r="J32" s="23"/>
      <c r="K32" s="65"/>
    </row>
    <row r="33" spans="2:15" ht="18.75" customHeight="1" x14ac:dyDescent="0.35">
      <c r="B33" s="37" t="s">
        <v>41</v>
      </c>
      <c r="C33" s="120">
        <f>MAX(D25:D32)</f>
        <v>35</v>
      </c>
      <c r="D33" s="120"/>
      <c r="E33" s="38"/>
      <c r="F33" s="31">
        <f>SUM(F25:F32)</f>
        <v>5</v>
      </c>
      <c r="G33" s="39">
        <f>SUM(G25:G32)</f>
        <v>4</v>
      </c>
      <c r="H33" s="40"/>
      <c r="I33" s="23"/>
      <c r="J33" s="23"/>
      <c r="K33" s="65"/>
    </row>
    <row r="34" spans="2:15" ht="18.75" customHeight="1" x14ac:dyDescent="0.35">
      <c r="B34" s="41" t="s">
        <v>5</v>
      </c>
      <c r="C34" s="111">
        <f>C33*G33/$C$4</f>
        <v>35</v>
      </c>
      <c r="D34" s="111"/>
      <c r="E34" s="42"/>
      <c r="G34" s="3"/>
      <c r="H34" s="43"/>
      <c r="J34" s="23"/>
      <c r="K34" s="65"/>
    </row>
    <row r="35" spans="2:15" ht="18.75" customHeight="1" x14ac:dyDescent="0.35">
      <c r="B35" s="41" t="s">
        <v>42</v>
      </c>
      <c r="C35" s="111">
        <f>C33*F33/$C$4</f>
        <v>43.75</v>
      </c>
      <c r="D35" s="111"/>
      <c r="E35" s="42"/>
      <c r="G35" s="3"/>
      <c r="H35" s="43"/>
      <c r="J35" s="23"/>
      <c r="K35" s="65"/>
    </row>
    <row r="36" spans="2:15" ht="18.75" customHeight="1" x14ac:dyDescent="0.35">
      <c r="B36" s="45"/>
      <c r="C36" s="45"/>
      <c r="D36" s="45"/>
      <c r="E36" s="45"/>
      <c r="F36" s="45"/>
      <c r="G36" s="45"/>
      <c r="H36" s="45"/>
      <c r="I36" s="45"/>
      <c r="J36" s="23"/>
      <c r="K36" s="65"/>
    </row>
    <row r="37" spans="2:15" ht="18.75" customHeight="1" x14ac:dyDescent="0.35">
      <c r="B37" s="22" t="s">
        <v>47</v>
      </c>
      <c r="C37" s="19"/>
      <c r="D37" s="19"/>
      <c r="E37" s="19"/>
      <c r="F37" s="23"/>
      <c r="G37" s="24"/>
      <c r="H37" s="24"/>
      <c r="I37" s="23"/>
      <c r="J37" s="23"/>
      <c r="K37" s="65"/>
    </row>
    <row r="38" spans="2:15" ht="31" x14ac:dyDescent="0.3">
      <c r="B38" s="7" t="s">
        <v>22</v>
      </c>
      <c r="C38" s="25" t="s">
        <v>48</v>
      </c>
      <c r="D38" s="25" t="s">
        <v>49</v>
      </c>
      <c r="F38" s="26" t="s">
        <v>25</v>
      </c>
      <c r="G38" s="27" t="s">
        <v>26</v>
      </c>
      <c r="I38" s="79"/>
      <c r="J38" s="79"/>
      <c r="K38" s="80"/>
      <c r="L38" s="79"/>
      <c r="M38" s="79"/>
    </row>
    <row r="39" spans="2:15" ht="18.75" customHeight="1" x14ac:dyDescent="0.35">
      <c r="B39" s="28" t="s">
        <v>47</v>
      </c>
      <c r="C39" s="29">
        <v>100</v>
      </c>
      <c r="D39" s="30">
        <f>C39*F39/G39</f>
        <v>0</v>
      </c>
      <c r="F39" s="31"/>
      <c r="G39" s="32">
        <v>1</v>
      </c>
      <c r="I39" s="34"/>
      <c r="J39" s="23"/>
      <c r="K39" s="69"/>
      <c r="L39" s="23"/>
      <c r="M39" s="65"/>
      <c r="O39" s="81"/>
    </row>
    <row r="40" spans="2:15" ht="18.75" customHeight="1" x14ac:dyDescent="0.35">
      <c r="B40" s="41" t="s">
        <v>7</v>
      </c>
      <c r="C40" s="111">
        <f>SUM(C39:C39)/$C$4</f>
        <v>25</v>
      </c>
      <c r="D40" s="111"/>
      <c r="E40" s="42"/>
      <c r="G40" s="43"/>
      <c r="H40" s="43"/>
      <c r="J40" s="23"/>
      <c r="K40" s="65"/>
    </row>
    <row r="41" spans="2:15" ht="18.75" customHeight="1" x14ac:dyDescent="0.35">
      <c r="B41" s="44" t="s">
        <v>42</v>
      </c>
      <c r="C41" s="111">
        <f>SUM(D39:D39)/$C$4</f>
        <v>0</v>
      </c>
      <c r="D41" s="111"/>
      <c r="E41" s="42"/>
      <c r="G41" s="43"/>
      <c r="H41" s="43"/>
      <c r="J41" s="23"/>
      <c r="K41" s="65"/>
    </row>
    <row r="42" spans="2:15" ht="18.75" customHeight="1" x14ac:dyDescent="0.35">
      <c r="B42" s="45"/>
      <c r="C42" s="45"/>
      <c r="D42" s="45"/>
      <c r="E42" s="45"/>
      <c r="F42" s="45"/>
      <c r="G42" s="45"/>
      <c r="H42" s="45"/>
      <c r="I42" s="45"/>
      <c r="J42" s="23"/>
      <c r="K42" s="65"/>
    </row>
    <row r="43" spans="2:15" s="2" customFormat="1" ht="18.75" customHeight="1" x14ac:dyDescent="0.45">
      <c r="B43" s="46" t="s">
        <v>50</v>
      </c>
      <c r="C43" s="47"/>
      <c r="D43" s="48"/>
      <c r="E43" s="48"/>
      <c r="F43" s="48"/>
      <c r="G43" s="49"/>
      <c r="H43" s="49"/>
      <c r="I43" s="82"/>
      <c r="J43" s="48"/>
      <c r="K43" s="48"/>
      <c r="L43" s="48"/>
    </row>
    <row r="44" spans="2:15" s="2" customFormat="1" ht="37" x14ac:dyDescent="0.3">
      <c r="B44" s="7" t="s">
        <v>22</v>
      </c>
      <c r="C44" s="25" t="s">
        <v>51</v>
      </c>
      <c r="D44" s="25" t="s">
        <v>52</v>
      </c>
      <c r="F44" s="50" t="s">
        <v>25</v>
      </c>
      <c r="G44" s="51" t="s">
        <v>26</v>
      </c>
      <c r="H44" s="52"/>
      <c r="I44" s="83"/>
      <c r="J44" s="84" t="s">
        <v>53</v>
      </c>
      <c r="K44" s="85" t="s">
        <v>54</v>
      </c>
      <c r="L44" s="84" t="s">
        <v>55</v>
      </c>
      <c r="M44" s="84" t="s">
        <v>56</v>
      </c>
      <c r="N44" s="84" t="s">
        <v>57</v>
      </c>
    </row>
    <row r="45" spans="2:15" s="2" customFormat="1" ht="18.75" customHeight="1" x14ac:dyDescent="0.45">
      <c r="B45" s="28" t="s">
        <v>58</v>
      </c>
      <c r="C45" s="29"/>
      <c r="D45" s="29">
        <f>C45/L45</f>
        <v>0</v>
      </c>
      <c r="F45" s="53"/>
      <c r="G45" s="54">
        <f>L45</f>
        <v>1</v>
      </c>
      <c r="H45" s="52"/>
      <c r="I45" s="86" t="s">
        <v>59</v>
      </c>
      <c r="J45" s="87">
        <v>1</v>
      </c>
      <c r="K45" s="88"/>
      <c r="L45" s="89">
        <v>1</v>
      </c>
      <c r="M45" s="90">
        <f>C45/L45</f>
        <v>0</v>
      </c>
      <c r="N45" s="91"/>
    </row>
    <row r="46" spans="2:15" s="2" customFormat="1" ht="18.75" customHeight="1" x14ac:dyDescent="0.45">
      <c r="B46" s="28" t="s">
        <v>60</v>
      </c>
      <c r="C46" s="29"/>
      <c r="D46" s="29" t="e">
        <f>C46/L46</f>
        <v>#DIV/0!</v>
      </c>
      <c r="F46" s="53"/>
      <c r="G46" s="54" t="e">
        <f>L46</f>
        <v>#DIV/0!</v>
      </c>
      <c r="H46" s="52"/>
      <c r="I46" s="86" t="s">
        <v>59</v>
      </c>
      <c r="J46" s="87" t="e">
        <f>ROUNDUP(C46/$C$48,0)</f>
        <v>#DIV/0!</v>
      </c>
      <c r="K46" s="88">
        <f>5*4</f>
        <v>20</v>
      </c>
      <c r="L46" s="89" t="e">
        <f>IF(J46&gt;10,10,J46)</f>
        <v>#DIV/0!</v>
      </c>
      <c r="M46" s="90" t="e">
        <f>C46/L46</f>
        <v>#DIV/0!</v>
      </c>
      <c r="N46" s="91">
        <v>1</v>
      </c>
    </row>
    <row r="47" spans="2:15" s="2" customFormat="1" ht="18.75" customHeight="1" x14ac:dyDescent="0.45">
      <c r="B47" s="55" t="s">
        <v>61</v>
      </c>
      <c r="C47" s="29"/>
      <c r="D47" s="29">
        <f>C47/L47</f>
        <v>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0</v>
      </c>
      <c r="N47" s="91"/>
    </row>
    <row r="48" spans="2:15" s="2" customFormat="1" ht="18.75" customHeight="1" x14ac:dyDescent="0.45">
      <c r="B48" s="28" t="s">
        <v>62</v>
      </c>
      <c r="C48" s="29"/>
      <c r="D48" s="29">
        <f>C48</f>
        <v>0</v>
      </c>
      <c r="F48" s="53">
        <v>1</v>
      </c>
      <c r="G48" s="54">
        <f t="shared" ref="G48:G49" si="0">L48</f>
        <v>0</v>
      </c>
      <c r="H48" s="52"/>
      <c r="I48" s="86"/>
      <c r="J48" s="87"/>
      <c r="K48" s="88"/>
      <c r="L48" s="89"/>
      <c r="M48" s="90">
        <f>D48</f>
        <v>0</v>
      </c>
      <c r="N48" s="91"/>
    </row>
    <row r="49" spans="2:15" s="2" customFormat="1" ht="18.75" customHeight="1" x14ac:dyDescent="0.45">
      <c r="B49" s="56" t="s">
        <v>63</v>
      </c>
      <c r="C49" s="29"/>
      <c r="D49" s="29">
        <f>C49/G49</f>
        <v>0</v>
      </c>
      <c r="F49" s="53"/>
      <c r="G49" s="54">
        <f t="shared" si="0"/>
        <v>1</v>
      </c>
      <c r="H49" s="52"/>
      <c r="I49" s="86" t="s">
        <v>59</v>
      </c>
      <c r="J49" s="87" t="e">
        <f>ROUNDUP(C49/$C$48,0)</f>
        <v>#DIV/0!</v>
      </c>
      <c r="K49" s="88"/>
      <c r="L49" s="89">
        <v>1</v>
      </c>
      <c r="M49" s="90">
        <f>C49/L49</f>
        <v>0</v>
      </c>
      <c r="N49" s="91"/>
    </row>
    <row r="50" spans="2:15" s="2" customFormat="1" ht="18.75" customHeight="1" x14ac:dyDescent="0.45">
      <c r="B50" s="28" t="s">
        <v>64</v>
      </c>
      <c r="C50" s="29"/>
      <c r="D50" s="29">
        <f t="shared" ref="D50:D53" si="1">C50/G50</f>
        <v>0</v>
      </c>
      <c r="F50" s="53"/>
      <c r="G50" s="54">
        <v>1</v>
      </c>
      <c r="H50" s="52"/>
      <c r="I50" s="86" t="s">
        <v>59</v>
      </c>
      <c r="J50" s="87" t="e">
        <f>ROUNDUP(C50/$C$48,0)</f>
        <v>#DIV/0!</v>
      </c>
      <c r="K50" s="88"/>
      <c r="L50" s="89">
        <v>1</v>
      </c>
      <c r="M50" s="90">
        <f t="shared" ref="M50:M53" si="2">C50/L50</f>
        <v>0</v>
      </c>
      <c r="N50" s="91"/>
    </row>
    <row r="51" spans="2:15" s="2" customFormat="1" ht="18.75" customHeight="1" x14ac:dyDescent="0.45">
      <c r="B51" s="28" t="s">
        <v>65</v>
      </c>
      <c r="C51" s="29"/>
      <c r="D51" s="29">
        <f t="shared" si="1"/>
        <v>0</v>
      </c>
      <c r="F51" s="53"/>
      <c r="G51" s="54">
        <v>1</v>
      </c>
      <c r="H51" s="52"/>
      <c r="I51" s="86" t="s">
        <v>59</v>
      </c>
      <c r="J51" s="87" t="e">
        <f>ROUNDUP(C51/$C$48,0)</f>
        <v>#DIV/0!</v>
      </c>
      <c r="K51" s="88"/>
      <c r="L51" s="89">
        <v>1</v>
      </c>
      <c r="M51" s="90">
        <f t="shared" si="2"/>
        <v>0</v>
      </c>
      <c r="N51" s="91"/>
    </row>
    <row r="52" spans="2:15" s="2" customFormat="1" ht="18.75" customHeight="1" x14ac:dyDescent="0.45">
      <c r="B52" s="28" t="s">
        <v>66</v>
      </c>
      <c r="C52" s="29"/>
      <c r="D52" s="29">
        <f t="shared" si="1"/>
        <v>0</v>
      </c>
      <c r="F52" s="53"/>
      <c r="G52" s="54">
        <v>1</v>
      </c>
      <c r="H52" s="52"/>
      <c r="I52" s="86" t="s">
        <v>59</v>
      </c>
      <c r="J52" s="87" t="e">
        <f>ROUNDUP(C52/$C$48,0)</f>
        <v>#DIV/0!</v>
      </c>
      <c r="K52" s="88"/>
      <c r="L52" s="89">
        <v>1</v>
      </c>
      <c r="M52" s="90">
        <f t="shared" si="2"/>
        <v>0</v>
      </c>
      <c r="N52" s="91"/>
    </row>
    <row r="53" spans="2:15" s="2" customFormat="1" ht="18.75" customHeight="1" x14ac:dyDescent="0.45">
      <c r="B53" s="28" t="s">
        <v>67</v>
      </c>
      <c r="C53" s="29"/>
      <c r="D53" s="29">
        <f t="shared" si="1"/>
        <v>0</v>
      </c>
      <c r="F53" s="53"/>
      <c r="G53" s="54">
        <v>2</v>
      </c>
      <c r="H53" s="52"/>
      <c r="I53" s="86" t="s">
        <v>59</v>
      </c>
      <c r="J53" s="87" t="e">
        <f>ROUNDUP(C53/$C$48,0)</f>
        <v>#DIV/0!</v>
      </c>
      <c r="K53" s="88"/>
      <c r="L53" s="89">
        <v>4</v>
      </c>
      <c r="M53" s="90">
        <f t="shared" si="2"/>
        <v>0</v>
      </c>
      <c r="N53" s="91"/>
    </row>
    <row r="54" spans="2:15" s="2" customFormat="1" ht="18.75" customHeight="1" x14ac:dyDescent="0.45">
      <c r="B54" s="41" t="s">
        <v>6</v>
      </c>
      <c r="C54" s="111"/>
      <c r="D54" s="111"/>
      <c r="E54" s="57"/>
      <c r="F54" s="2">
        <f>SUM(F45:F53)</f>
        <v>1</v>
      </c>
      <c r="G54" s="2" t="e">
        <f>SUM(G45:G53)</f>
        <v>#DIV/0!</v>
      </c>
      <c r="H54" s="52"/>
      <c r="I54" s="86" t="s">
        <v>68</v>
      </c>
      <c r="J54" s="87" t="e">
        <f>SUM(J45:J53)</f>
        <v>#DIV/0!</v>
      </c>
      <c r="K54" s="88"/>
      <c r="L54" s="92" t="e">
        <f>SUM(L45:L53)</f>
        <v>#DIV/0!</v>
      </c>
      <c r="M54" s="93" t="e">
        <f>MAX(M45:M53)*L54</f>
        <v>#DIV/0!</v>
      </c>
      <c r="N54" s="89"/>
    </row>
    <row r="55" spans="2:15" s="2" customFormat="1" ht="18.75" customHeight="1" x14ac:dyDescent="0.45">
      <c r="B55" s="58" t="s">
        <v>42</v>
      </c>
      <c r="C55" s="111"/>
      <c r="D55" s="111"/>
      <c r="E55" s="59"/>
      <c r="F55" s="60"/>
      <c r="G55" s="61"/>
      <c r="H55" s="61"/>
      <c r="I55" s="94"/>
      <c r="J55" s="60"/>
      <c r="K55" s="60"/>
      <c r="L55" s="60"/>
    </row>
    <row r="57" spans="2:15" ht="18.75" customHeight="1" x14ac:dyDescent="0.35">
      <c r="B57" s="22" t="s">
        <v>69</v>
      </c>
      <c r="C57" s="19"/>
      <c r="D57" s="19"/>
      <c r="E57" s="19"/>
      <c r="F57" s="23"/>
      <c r="G57" s="24"/>
      <c r="H57" s="24"/>
      <c r="I57" s="23"/>
      <c r="J57" s="23"/>
      <c r="K57" s="65"/>
    </row>
    <row r="58" spans="2:15" ht="31" x14ac:dyDescent="0.3">
      <c r="B58" s="7" t="s">
        <v>22</v>
      </c>
      <c r="C58" s="25" t="s">
        <v>48</v>
      </c>
      <c r="D58" s="25" t="s">
        <v>49</v>
      </c>
      <c r="F58" s="26" t="s">
        <v>25</v>
      </c>
      <c r="G58" s="27" t="s">
        <v>26</v>
      </c>
      <c r="I58" s="79"/>
      <c r="J58" s="79"/>
      <c r="K58" s="80"/>
      <c r="L58" s="79"/>
      <c r="M58" s="79"/>
    </row>
    <row r="59" spans="2:15" ht="18.75" customHeight="1" x14ac:dyDescent="0.35">
      <c r="B59" s="28" t="s">
        <v>69</v>
      </c>
      <c r="C59" s="29">
        <v>0</v>
      </c>
      <c r="D59" s="30">
        <f>C59*F59</f>
        <v>0</v>
      </c>
      <c r="F59" s="31">
        <v>1</v>
      </c>
      <c r="G59" s="32">
        <v>1</v>
      </c>
      <c r="I59" s="34"/>
      <c r="J59" s="23"/>
      <c r="K59" s="69"/>
      <c r="L59" s="23"/>
      <c r="M59" s="65"/>
      <c r="O59" s="81"/>
    </row>
    <row r="60" spans="2:15" ht="18.75" customHeight="1" x14ac:dyDescent="0.35">
      <c r="B60" s="41" t="s">
        <v>8</v>
      </c>
      <c r="C60" s="111">
        <f>SUM(C59:C59)*G59/$C$4</f>
        <v>0</v>
      </c>
      <c r="D60" s="111"/>
      <c r="E60" s="42"/>
      <c r="G60" s="43"/>
      <c r="H60" s="43"/>
      <c r="J60" s="23"/>
      <c r="K60" s="65"/>
    </row>
    <row r="61" spans="2:15" ht="18.75" customHeight="1" x14ac:dyDescent="0.35">
      <c r="B61" s="44" t="s">
        <v>42</v>
      </c>
      <c r="C61" s="111">
        <f>SUM(D59:D59)/$C$4</f>
        <v>0</v>
      </c>
      <c r="D61" s="111"/>
      <c r="E61" s="42"/>
      <c r="G61" s="43"/>
      <c r="H61" s="43"/>
      <c r="J61" s="23"/>
      <c r="K61" s="65"/>
    </row>
    <row r="62" spans="2:15" ht="18.75" customHeight="1" x14ac:dyDescent="0.35">
      <c r="B62" s="45"/>
      <c r="C62" s="45"/>
      <c r="D62" s="45"/>
      <c r="E62" s="45"/>
      <c r="F62" s="45"/>
      <c r="G62" s="45"/>
      <c r="H62" s="45"/>
      <c r="I62" s="45"/>
      <c r="J62" s="23"/>
      <c r="K62" s="65"/>
    </row>
    <row r="63" spans="2:15" ht="18.75" customHeight="1" x14ac:dyDescent="0.4">
      <c r="B63" s="62" t="s">
        <v>70</v>
      </c>
      <c r="C63" s="19"/>
      <c r="D63" s="19"/>
      <c r="E63" s="19"/>
      <c r="F63" s="23"/>
      <c r="G63" s="24"/>
      <c r="H63" s="24"/>
      <c r="I63" s="23"/>
      <c r="J63" s="23"/>
      <c r="K63" s="65"/>
    </row>
    <row r="64" spans="2:15" ht="31" x14ac:dyDescent="0.3">
      <c r="B64" s="7" t="s">
        <v>22</v>
      </c>
      <c r="C64" s="25" t="s">
        <v>48</v>
      </c>
      <c r="D64" s="25" t="s">
        <v>49</v>
      </c>
      <c r="F64" s="26" t="s">
        <v>25</v>
      </c>
      <c r="G64" s="27" t="s">
        <v>26</v>
      </c>
      <c r="I64" s="79"/>
      <c r="J64" s="79"/>
      <c r="K64" s="80"/>
      <c r="L64" s="79"/>
      <c r="M64" s="79"/>
    </row>
    <row r="65" spans="2:15" ht="18.75" customHeight="1" x14ac:dyDescent="0.35">
      <c r="B65" s="55" t="s">
        <v>70</v>
      </c>
      <c r="C65" s="29">
        <v>0</v>
      </c>
      <c r="D65" s="30">
        <f>C65*F65</f>
        <v>0</v>
      </c>
      <c r="F65" s="31"/>
      <c r="G65" s="32">
        <v>1</v>
      </c>
      <c r="I65" s="34"/>
      <c r="J65" s="23"/>
      <c r="K65" s="69"/>
      <c r="L65" s="23"/>
      <c r="M65" s="65"/>
      <c r="O65" s="81"/>
    </row>
    <row r="66" spans="2:15" ht="18.75" customHeight="1" x14ac:dyDescent="0.35">
      <c r="B66" s="41" t="s">
        <v>9</v>
      </c>
      <c r="C66" s="111">
        <f>SUM(C65:C65)*G65/$C$4</f>
        <v>0</v>
      </c>
      <c r="D66" s="111"/>
      <c r="E66" s="42"/>
      <c r="G66" s="43"/>
      <c r="H66" s="43"/>
      <c r="J66" s="23"/>
      <c r="K66" s="65"/>
    </row>
    <row r="67" spans="2:15" ht="18.75" customHeight="1" x14ac:dyDescent="0.35">
      <c r="B67" s="44" t="s">
        <v>42</v>
      </c>
      <c r="C67" s="111">
        <f>SUM(D65:D65)/$C$4</f>
        <v>0</v>
      </c>
      <c r="D67" s="111"/>
      <c r="E67" s="42"/>
      <c r="G67" s="43"/>
      <c r="H67" s="43"/>
      <c r="J67" s="23"/>
      <c r="K67" s="65"/>
    </row>
    <row r="68" spans="2:15" ht="18.75" customHeight="1" x14ac:dyDescent="0.35">
      <c r="B68" s="45"/>
      <c r="C68" s="45"/>
      <c r="D68" s="45"/>
      <c r="E68" s="45"/>
      <c r="F68" s="45"/>
      <c r="G68" s="45"/>
      <c r="H68" s="45"/>
      <c r="I68" s="45"/>
      <c r="J68" s="23"/>
      <c r="K68" s="65"/>
    </row>
    <row r="69" spans="2:15" x14ac:dyDescent="0.35">
      <c r="B69" s="95" t="s">
        <v>71</v>
      </c>
      <c r="C69" s="96"/>
      <c r="D69" s="96"/>
      <c r="E69" s="96"/>
      <c r="F69" s="97"/>
      <c r="G69" s="98"/>
      <c r="H69" s="99"/>
      <c r="I69" s="99"/>
      <c r="J69" s="99"/>
      <c r="K69" s="99"/>
      <c r="L69" s="99"/>
      <c r="M69" s="99"/>
      <c r="N69" s="99"/>
    </row>
    <row r="70" spans="2:15" ht="31" x14ac:dyDescent="0.35">
      <c r="B70" s="7" t="s">
        <v>22</v>
      </c>
      <c r="C70" s="25" t="s">
        <v>48</v>
      </c>
      <c r="D70" s="25" t="s">
        <v>49</v>
      </c>
      <c r="E70" s="100"/>
      <c r="F70" s="26" t="s">
        <v>25</v>
      </c>
      <c r="G70" s="27" t="s">
        <v>26</v>
      </c>
      <c r="H70" s="99"/>
      <c r="I70" s="99"/>
      <c r="J70" s="99"/>
      <c r="K70" s="99"/>
      <c r="L70" s="99"/>
      <c r="M70" s="99"/>
      <c r="N70" s="99"/>
    </row>
    <row r="71" spans="2:15" ht="20.25" customHeight="1" x14ac:dyDescent="0.35">
      <c r="B71" s="101" t="s">
        <v>2</v>
      </c>
      <c r="C71" s="102">
        <v>30</v>
      </c>
      <c r="D71" s="103">
        <f>C71*F71</f>
        <v>30</v>
      </c>
      <c r="E71" s="100"/>
      <c r="F71" s="104">
        <v>1</v>
      </c>
      <c r="G71" s="105">
        <v>1</v>
      </c>
      <c r="H71" s="99"/>
      <c r="I71" s="99"/>
      <c r="J71" s="99"/>
      <c r="K71" s="99"/>
      <c r="L71" s="99"/>
      <c r="M71" s="99"/>
      <c r="N71" s="99"/>
    </row>
    <row r="72" spans="2:15" ht="20.25" customHeight="1" x14ac:dyDescent="0.35">
      <c r="B72" s="106" t="s">
        <v>72</v>
      </c>
      <c r="C72" s="102">
        <v>45</v>
      </c>
      <c r="D72" s="103"/>
      <c r="E72" s="100"/>
      <c r="F72" s="104"/>
      <c r="G72" s="105">
        <v>1</v>
      </c>
      <c r="H72" s="99"/>
      <c r="I72" s="99"/>
      <c r="J72" s="99"/>
      <c r="K72" s="99"/>
      <c r="L72" s="99"/>
      <c r="M72" s="99"/>
      <c r="N72" s="99"/>
    </row>
    <row r="73" spans="2:15" ht="20.25" customHeight="1" x14ac:dyDescent="0.35">
      <c r="B73" s="106" t="s">
        <v>11</v>
      </c>
      <c r="C73" s="102"/>
      <c r="D73" s="103"/>
      <c r="E73" s="100"/>
      <c r="F73" s="104"/>
      <c r="G73" s="105"/>
      <c r="H73" s="99"/>
      <c r="I73" s="99"/>
      <c r="J73" s="99"/>
      <c r="K73" s="99"/>
      <c r="L73" s="99"/>
      <c r="M73" s="99"/>
      <c r="N73" s="99"/>
    </row>
    <row r="74" spans="2:15" ht="20.25" customHeight="1" x14ac:dyDescent="0.35">
      <c r="B74" s="106" t="s">
        <v>73</v>
      </c>
      <c r="C74" s="102">
        <f>D74*G74/F74</f>
        <v>40</v>
      </c>
      <c r="D74" s="102">
        <v>20</v>
      </c>
      <c r="E74" s="100"/>
      <c r="F74" s="104">
        <v>1</v>
      </c>
      <c r="G74" s="105">
        <v>2</v>
      </c>
      <c r="H74" s="99"/>
      <c r="I74" s="99"/>
      <c r="J74" s="99"/>
      <c r="K74" s="99"/>
      <c r="L74" s="99"/>
      <c r="M74" s="99"/>
      <c r="N74" s="99"/>
    </row>
    <row r="75" spans="2:15" ht="20.25" customHeight="1" x14ac:dyDescent="0.35">
      <c r="B75" s="106" t="s">
        <v>74</v>
      </c>
      <c r="C75" s="102">
        <f>D74*G75/F74</f>
        <v>40</v>
      </c>
      <c r="D75" s="103"/>
      <c r="E75" s="100"/>
      <c r="F75" s="104"/>
      <c r="G75" s="105">
        <v>2</v>
      </c>
      <c r="H75" s="99"/>
      <c r="I75" s="99"/>
      <c r="J75" s="99"/>
      <c r="K75" s="99"/>
      <c r="L75" s="99"/>
      <c r="M75" s="99"/>
      <c r="N75" s="99"/>
    </row>
    <row r="76" spans="2:15" ht="20.25" customHeight="1" x14ac:dyDescent="0.35">
      <c r="B76" s="106" t="s">
        <v>75</v>
      </c>
      <c r="C76" s="102">
        <f>D74*G76/F74</f>
        <v>40</v>
      </c>
      <c r="D76" s="103"/>
      <c r="E76" s="100"/>
      <c r="F76" s="104"/>
      <c r="G76" s="105">
        <v>2</v>
      </c>
      <c r="H76" s="99"/>
      <c r="I76" s="99"/>
      <c r="J76" s="99"/>
      <c r="K76" s="99"/>
      <c r="L76" s="99"/>
      <c r="M76" s="99"/>
      <c r="N76" s="99"/>
    </row>
    <row r="77" spans="2:15" ht="20.25" customHeight="1" x14ac:dyDescent="0.35">
      <c r="B77" s="41" t="s">
        <v>10</v>
      </c>
      <c r="C77" s="112">
        <f>SUM(C71:C76)</f>
        <v>195</v>
      </c>
      <c r="D77" s="113"/>
      <c r="E77" s="107"/>
      <c r="F77" s="100"/>
      <c r="G77" s="108"/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109" t="s">
        <v>42</v>
      </c>
      <c r="C78" s="112">
        <f>SUM(D71:D76)</f>
        <v>50</v>
      </c>
      <c r="D78" s="113"/>
      <c r="E78" s="107"/>
      <c r="F78" s="100"/>
      <c r="G78" s="108"/>
      <c r="H78" s="99"/>
      <c r="I78" s="99"/>
      <c r="J78" s="99"/>
      <c r="K78" s="99"/>
      <c r="L78" s="99"/>
      <c r="M78" s="99"/>
      <c r="N78" s="99"/>
    </row>
  </sheetData>
  <mergeCells count="22">
    <mergeCell ref="C41:D41"/>
    <mergeCell ref="B1:F1"/>
    <mergeCell ref="C2:F2"/>
    <mergeCell ref="C19:D19"/>
    <mergeCell ref="C20:D20"/>
    <mergeCell ref="C21:D21"/>
    <mergeCell ref="C67:D67"/>
    <mergeCell ref="C77:D77"/>
    <mergeCell ref="C78:D78"/>
    <mergeCell ref="B3:B4"/>
    <mergeCell ref="C4:C5"/>
    <mergeCell ref="D4:D5"/>
    <mergeCell ref="B8:G9"/>
    <mergeCell ref="C54:D54"/>
    <mergeCell ref="C55:D55"/>
    <mergeCell ref="C60:D60"/>
    <mergeCell ref="C61:D61"/>
    <mergeCell ref="C66:D66"/>
    <mergeCell ref="C33:D33"/>
    <mergeCell ref="C34:D34"/>
    <mergeCell ref="C35:D35"/>
    <mergeCell ref="C40:D40"/>
  </mergeCells>
  <phoneticPr fontId="31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rgb="FFFFFF00"/>
  </sheetPr>
  <dimension ref="B1:O85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hidden="1" customWidth="1" outlineLevel="1"/>
    <col min="10" max="11" width="10.5" style="3" hidden="1" customWidth="1" outlineLevel="1"/>
    <col min="12" max="12" width="15.33203125" style="3" hidden="1" customWidth="1" outlineLevel="1"/>
    <col min="13" max="13" width="12.58203125" style="3" hidden="1" customWidth="1" outlineLevel="1"/>
    <col min="14" max="14" width="15.58203125" style="3" customWidth="1" collapsed="1"/>
    <col min="15" max="16384" width="8.25" style="3"/>
  </cols>
  <sheetData>
    <row r="1" spans="2:15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5" ht="16.5" x14ac:dyDescent="0.4">
      <c r="B2" s="7" t="s">
        <v>13</v>
      </c>
      <c r="C2" s="123" t="s">
        <v>86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5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5" ht="18.75" customHeight="1" x14ac:dyDescent="0.35">
      <c r="B4" s="115"/>
      <c r="C4" s="116">
        <v>2</v>
      </c>
      <c r="D4" s="118">
        <v>0.5</v>
      </c>
      <c r="E4" s="12">
        <f>K21</f>
        <v>98</v>
      </c>
      <c r="F4" s="12">
        <f>K22</f>
        <v>98</v>
      </c>
      <c r="L4" s="6"/>
      <c r="M4" s="8"/>
    </row>
    <row r="5" spans="2:15" ht="18.75" customHeight="1" x14ac:dyDescent="0.35">
      <c r="B5" s="11"/>
      <c r="C5" s="117"/>
      <c r="D5" s="118"/>
      <c r="E5" s="12">
        <f>K35</f>
        <v>488</v>
      </c>
      <c r="F5" s="12">
        <f>K36</f>
        <v>256</v>
      </c>
      <c r="H5" s="10"/>
      <c r="I5" s="10"/>
      <c r="J5" s="10"/>
      <c r="L5" s="6"/>
      <c r="M5" s="8"/>
    </row>
    <row r="6" spans="2:15" ht="18.75" customHeight="1" x14ac:dyDescent="0.35">
      <c r="B6" s="13" t="s">
        <v>0</v>
      </c>
      <c r="C6" s="14">
        <f>C27+C42+C61+C84+C48+C67+C73</f>
        <v>413.13157894736798</v>
      </c>
      <c r="D6" s="15">
        <f>(C6-F6)/0.8</f>
        <v>466.41447368421098</v>
      </c>
      <c r="E6" s="16" t="s">
        <v>20</v>
      </c>
      <c r="F6" s="17">
        <f>VLOOKUP(E6,$B$68:$C$82,2,0)</f>
        <v>40</v>
      </c>
      <c r="G6" s="18"/>
      <c r="H6" s="10"/>
      <c r="I6" s="19"/>
      <c r="J6" s="23"/>
      <c r="K6" s="65"/>
      <c r="N6" s="4"/>
    </row>
    <row r="7" spans="2:15" ht="18.75" customHeight="1" x14ac:dyDescent="0.35">
      <c r="B7" s="13" t="s">
        <v>1</v>
      </c>
      <c r="C7" s="14">
        <f>C28+C43+C62+C85+C49+C68+C74</f>
        <v>231.57894736842101</v>
      </c>
      <c r="D7" s="19"/>
      <c r="E7" s="20"/>
      <c r="F7" s="19"/>
      <c r="G7" s="18"/>
      <c r="H7" s="18"/>
      <c r="I7" s="19"/>
      <c r="J7" s="23"/>
      <c r="K7" s="65"/>
      <c r="N7" s="4"/>
    </row>
    <row r="8" spans="2:15" x14ac:dyDescent="0.35">
      <c r="B8" s="119" t="s">
        <v>82</v>
      </c>
      <c r="C8" s="119"/>
      <c r="D8" s="119"/>
      <c r="E8" s="119"/>
      <c r="F8" s="119"/>
      <c r="G8" s="119"/>
      <c r="H8" s="21"/>
      <c r="I8" s="21"/>
      <c r="J8" s="23"/>
      <c r="K8" s="65"/>
    </row>
    <row r="9" spans="2:15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5" ht="18.75" customHeight="1" x14ac:dyDescent="0.4">
      <c r="B10" s="62" t="s">
        <v>87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5" ht="31" x14ac:dyDescent="0.3">
      <c r="B11" s="7" t="s">
        <v>22</v>
      </c>
      <c r="C11" s="25" t="s">
        <v>48</v>
      </c>
      <c r="D11" s="25" t="s">
        <v>49</v>
      </c>
      <c r="F11" s="26" t="s">
        <v>25</v>
      </c>
      <c r="G11" s="27" t="s">
        <v>26</v>
      </c>
      <c r="I11" s="79"/>
      <c r="J11" s="79"/>
      <c r="K11" s="80"/>
      <c r="L11" s="79"/>
      <c r="M11" s="79"/>
    </row>
    <row r="12" spans="2:15" ht="18.75" customHeight="1" x14ac:dyDescent="0.35">
      <c r="B12" s="55" t="s">
        <v>87</v>
      </c>
      <c r="C12" s="29">
        <v>0</v>
      </c>
      <c r="D12" s="30"/>
      <c r="F12" s="31"/>
      <c r="G12" s="32">
        <v>1</v>
      </c>
      <c r="I12" s="34"/>
      <c r="J12" s="23"/>
      <c r="K12" s="69"/>
      <c r="L12" s="23"/>
      <c r="M12" s="65"/>
      <c r="O12" s="81"/>
    </row>
    <row r="13" spans="2:15" ht="18.75" customHeight="1" x14ac:dyDescent="0.35">
      <c r="B13" s="110" t="s">
        <v>3</v>
      </c>
      <c r="C13" s="111">
        <f>SUM(C12:C12)/$C$4</f>
        <v>0</v>
      </c>
      <c r="D13" s="111"/>
      <c r="E13" s="42"/>
      <c r="G13" s="43"/>
      <c r="H13" s="43"/>
      <c r="J13" s="23"/>
      <c r="K13" s="65"/>
    </row>
    <row r="14" spans="2:15" ht="18.75" customHeight="1" x14ac:dyDescent="0.35">
      <c r="B14" s="44" t="s">
        <v>42</v>
      </c>
      <c r="C14" s="111">
        <f>SUM(D12:D12)/$C$4</f>
        <v>0</v>
      </c>
      <c r="D14" s="111"/>
      <c r="E14" s="42"/>
      <c r="G14" s="43"/>
      <c r="H14" s="43"/>
      <c r="J14" s="23"/>
      <c r="K14" s="65"/>
    </row>
    <row r="15" spans="2:15" ht="18.75" customHeight="1" x14ac:dyDescent="0.35">
      <c r="B15" s="45"/>
      <c r="C15" s="45"/>
      <c r="D15" s="45"/>
      <c r="E15" s="45"/>
      <c r="F15" s="45"/>
      <c r="G15" s="45"/>
      <c r="H15" s="45"/>
      <c r="I15" s="45"/>
      <c r="J15" s="23"/>
      <c r="K15" s="65"/>
    </row>
    <row r="16" spans="2:15" ht="18.75" customHeight="1" x14ac:dyDescent="0.35">
      <c r="B16" s="22" t="s">
        <v>21</v>
      </c>
      <c r="C16" s="19"/>
      <c r="D16" s="19"/>
      <c r="E16" s="19"/>
      <c r="F16" s="23"/>
      <c r="G16" s="24"/>
      <c r="H16" s="24"/>
      <c r="I16" s="23"/>
      <c r="J16" s="23"/>
      <c r="K16" s="65"/>
    </row>
    <row r="17" spans="2:13" ht="31" x14ac:dyDescent="0.3">
      <c r="B17" s="7" t="s">
        <v>22</v>
      </c>
      <c r="C17" s="25" t="s">
        <v>23</v>
      </c>
      <c r="D17" s="25" t="s">
        <v>24</v>
      </c>
      <c r="F17" s="26" t="s">
        <v>25</v>
      </c>
      <c r="G17" s="27" t="s">
        <v>26</v>
      </c>
      <c r="I17" s="66" t="s">
        <v>27</v>
      </c>
      <c r="J17" s="67" t="s">
        <v>28</v>
      </c>
      <c r="K17" s="68" t="s">
        <v>29</v>
      </c>
      <c r="L17" s="66" t="s">
        <v>30</v>
      </c>
      <c r="M17" s="66" t="s">
        <v>31</v>
      </c>
    </row>
    <row r="18" spans="2:13" ht="18.75" customHeight="1" x14ac:dyDescent="0.35">
      <c r="B18" s="28" t="s">
        <v>32</v>
      </c>
      <c r="C18" s="29">
        <v>60</v>
      </c>
      <c r="D18" s="30"/>
      <c r="F18" s="31"/>
      <c r="G18" s="32">
        <v>2</v>
      </c>
      <c r="I18" s="34"/>
      <c r="J18" s="23"/>
      <c r="K18" s="69"/>
      <c r="L18" s="23"/>
      <c r="M18" s="65"/>
    </row>
    <row r="19" spans="2:13" ht="18.75" customHeight="1" x14ac:dyDescent="0.35">
      <c r="B19" s="28" t="s">
        <v>33</v>
      </c>
      <c r="C19" s="29"/>
      <c r="D19" s="33">
        <v>35</v>
      </c>
      <c r="F19" s="31">
        <v>1</v>
      </c>
      <c r="G19" s="32"/>
      <c r="I19" s="34"/>
      <c r="J19" s="23"/>
      <c r="K19" s="69"/>
      <c r="L19" s="23"/>
      <c r="M19" s="65"/>
    </row>
    <row r="20" spans="2:13" ht="18.75" customHeight="1" x14ac:dyDescent="0.35">
      <c r="B20" s="28" t="s">
        <v>34</v>
      </c>
      <c r="C20" s="29"/>
      <c r="D20" s="30">
        <v>30</v>
      </c>
      <c r="F20" s="31"/>
      <c r="G20" s="32"/>
      <c r="I20" s="34"/>
      <c r="J20" s="23"/>
      <c r="K20" s="69"/>
      <c r="L20" s="23"/>
      <c r="M20" s="65"/>
    </row>
    <row r="21" spans="2:13" ht="18.75" customHeight="1" x14ac:dyDescent="0.35">
      <c r="B21" s="28" t="s">
        <v>35</v>
      </c>
      <c r="C21" s="29"/>
      <c r="D21" s="30">
        <v>15</v>
      </c>
      <c r="F21" s="31">
        <v>1</v>
      </c>
      <c r="G21" s="32">
        <v>1</v>
      </c>
      <c r="I21" s="70">
        <v>0.63</v>
      </c>
      <c r="J21" s="71">
        <f>3600/I21/150000</f>
        <v>3.8095238095238099E-2</v>
      </c>
      <c r="K21" s="72">
        <v>98</v>
      </c>
      <c r="L21" s="73">
        <v>5</v>
      </c>
      <c r="M21" s="74">
        <v>0.64400000000000002</v>
      </c>
    </row>
    <row r="22" spans="2:13" ht="18.75" customHeight="1" x14ac:dyDescent="0.35">
      <c r="B22" s="28" t="s">
        <v>36</v>
      </c>
      <c r="C22" s="29"/>
      <c r="D22" s="30">
        <v>15</v>
      </c>
      <c r="F22" s="31"/>
      <c r="G22" s="32">
        <v>1</v>
      </c>
      <c r="I22" s="70">
        <v>0.60099999999999998</v>
      </c>
      <c r="J22" s="71">
        <f>3600/I22/83000</f>
        <v>7.2168875167892901E-2</v>
      </c>
      <c r="K22" s="72">
        <v>98</v>
      </c>
      <c r="L22" s="73">
        <v>5</v>
      </c>
      <c r="M22" s="74">
        <v>0.35599999999999998</v>
      </c>
    </row>
    <row r="23" spans="2:13" ht="18.75" customHeight="1" x14ac:dyDescent="0.35">
      <c r="B23" s="28" t="s">
        <v>37</v>
      </c>
      <c r="C23" s="29"/>
      <c r="D23" s="30">
        <f>($D$4+0.15)/0.95*60</f>
        <v>41.052631578947398</v>
      </c>
      <c r="F23" s="31">
        <v>1</v>
      </c>
      <c r="G23" s="32"/>
      <c r="I23" s="75"/>
      <c r="J23" s="76"/>
      <c r="K23" s="4"/>
      <c r="L23" s="77"/>
      <c r="M23" s="65"/>
    </row>
    <row r="24" spans="2:13" ht="18.75" customHeight="1" x14ac:dyDescent="0.35">
      <c r="B24" s="28" t="s">
        <v>38</v>
      </c>
      <c r="C24" s="29"/>
      <c r="D24" s="30">
        <v>35</v>
      </c>
      <c r="F24" s="31"/>
      <c r="G24" s="32"/>
      <c r="I24" s="73" t="s">
        <v>39</v>
      </c>
      <c r="J24" s="78">
        <f>SUM(D21:D22)/(MAX(D21:D22)*COUNT(D21:D22))</f>
        <v>1</v>
      </c>
      <c r="K24" s="4"/>
      <c r="L24" s="23"/>
      <c r="M24" s="65"/>
    </row>
    <row r="25" spans="2:13" ht="18.75" customHeight="1" x14ac:dyDescent="0.35">
      <c r="B25" s="28" t="s">
        <v>40</v>
      </c>
      <c r="C25" s="29">
        <v>30</v>
      </c>
      <c r="D25" s="30"/>
      <c r="E25" s="34"/>
      <c r="F25" s="35"/>
      <c r="G25" s="36">
        <v>1</v>
      </c>
      <c r="H25" s="18"/>
      <c r="I25" s="23"/>
      <c r="J25" s="23"/>
      <c r="K25" s="65"/>
    </row>
    <row r="26" spans="2:13" ht="18.75" customHeight="1" x14ac:dyDescent="0.35">
      <c r="B26" s="37" t="s">
        <v>41</v>
      </c>
      <c r="C26" s="120">
        <f>MAX(D18:D25)</f>
        <v>41.052631578947398</v>
      </c>
      <c r="D26" s="120"/>
      <c r="E26" s="38"/>
      <c r="F26" s="31">
        <f>SUM(F18:F25)</f>
        <v>3</v>
      </c>
      <c r="G26" s="39">
        <f>SUM(G18:G25)</f>
        <v>5</v>
      </c>
      <c r="H26" s="40"/>
      <c r="I26" s="23"/>
      <c r="J26" s="23"/>
      <c r="K26" s="65"/>
    </row>
    <row r="27" spans="2:13" ht="18.75" customHeight="1" x14ac:dyDescent="0.35">
      <c r="B27" s="41" t="s">
        <v>4</v>
      </c>
      <c r="C27" s="111">
        <f>C26*G26/$C$4</f>
        <v>102.631578947368</v>
      </c>
      <c r="D27" s="111"/>
      <c r="E27" s="42"/>
      <c r="G27" s="3"/>
      <c r="H27" s="43"/>
      <c r="J27" s="23"/>
      <c r="K27" s="65"/>
    </row>
    <row r="28" spans="2:13" ht="18.75" customHeight="1" x14ac:dyDescent="0.35">
      <c r="B28" s="44" t="s">
        <v>42</v>
      </c>
      <c r="C28" s="111">
        <f>C26*F26/$C$4</f>
        <v>61.578947368421098</v>
      </c>
      <c r="D28" s="111"/>
      <c r="E28" s="42"/>
      <c r="G28" s="3"/>
      <c r="H28" s="43"/>
      <c r="J28" s="23"/>
      <c r="K28" s="65"/>
    </row>
    <row r="29" spans="2:13" ht="18.75" customHeight="1" x14ac:dyDescent="0.35">
      <c r="B29" s="45"/>
      <c r="C29" s="45"/>
      <c r="D29" s="45"/>
      <c r="E29" s="45"/>
      <c r="F29" s="45"/>
      <c r="G29" s="45"/>
      <c r="H29" s="45"/>
      <c r="I29" s="45"/>
      <c r="J29" s="23"/>
      <c r="K29" s="65"/>
    </row>
    <row r="30" spans="2:13" ht="18.75" customHeight="1" x14ac:dyDescent="0.35">
      <c r="B30" s="22" t="s">
        <v>43</v>
      </c>
      <c r="C30" s="19"/>
      <c r="D30" s="19"/>
      <c r="E30" s="19"/>
      <c r="F30" s="23"/>
      <c r="G30" s="24"/>
      <c r="H30" s="24"/>
      <c r="I30" s="23"/>
      <c r="J30" s="23"/>
      <c r="K30" s="65"/>
    </row>
    <row r="31" spans="2:13" ht="31" x14ac:dyDescent="0.3">
      <c r="B31" s="7" t="s">
        <v>22</v>
      </c>
      <c r="C31" s="25" t="s">
        <v>23</v>
      </c>
      <c r="D31" s="25" t="s">
        <v>24</v>
      </c>
      <c r="F31" s="26" t="s">
        <v>25</v>
      </c>
      <c r="G31" s="27" t="s">
        <v>26</v>
      </c>
      <c r="I31" s="66" t="s">
        <v>27</v>
      </c>
      <c r="J31" s="67" t="s">
        <v>28</v>
      </c>
      <c r="K31" s="68" t="s">
        <v>29</v>
      </c>
      <c r="L31" s="66" t="s">
        <v>30</v>
      </c>
      <c r="M31" s="66" t="s">
        <v>31</v>
      </c>
    </row>
    <row r="32" spans="2:13" ht="18.75" customHeight="1" x14ac:dyDescent="0.35">
      <c r="B32" s="28" t="s">
        <v>32</v>
      </c>
      <c r="C32" s="29">
        <v>30</v>
      </c>
      <c r="D32" s="30"/>
      <c r="F32" s="31"/>
      <c r="G32" s="32">
        <v>1</v>
      </c>
      <c r="I32" s="34"/>
      <c r="J32" s="23"/>
      <c r="K32" s="69"/>
      <c r="L32" s="23"/>
      <c r="M32" s="65"/>
    </row>
    <row r="33" spans="2:15" ht="18.75" customHeight="1" x14ac:dyDescent="0.35">
      <c r="B33" s="28" t="s">
        <v>33</v>
      </c>
      <c r="C33" s="29"/>
      <c r="D33" s="33">
        <v>35</v>
      </c>
      <c r="F33" s="31">
        <v>1</v>
      </c>
      <c r="G33" s="32"/>
      <c r="I33" s="34"/>
      <c r="J33" s="23"/>
      <c r="K33" s="69"/>
      <c r="L33" s="23"/>
      <c r="M33" s="65"/>
    </row>
    <row r="34" spans="2:15" ht="18.75" customHeight="1" x14ac:dyDescent="0.35">
      <c r="B34" s="28" t="s">
        <v>34</v>
      </c>
      <c r="C34" s="29"/>
      <c r="D34" s="30">
        <v>30</v>
      </c>
      <c r="F34" s="31"/>
      <c r="G34" s="32"/>
      <c r="I34" s="34"/>
      <c r="J34" s="23"/>
      <c r="K34" s="69"/>
      <c r="L34" s="23"/>
      <c r="M34" s="65"/>
    </row>
    <row r="35" spans="2:15" ht="18.75" customHeight="1" x14ac:dyDescent="0.35">
      <c r="B35" s="28" t="s">
        <v>44</v>
      </c>
      <c r="C35" s="29"/>
      <c r="D35" s="30">
        <v>44</v>
      </c>
      <c r="F35" s="31">
        <v>1</v>
      </c>
      <c r="G35" s="32">
        <v>1</v>
      </c>
      <c r="I35" s="70">
        <v>0.63</v>
      </c>
      <c r="J35" s="71">
        <f>3600/I35/150000</f>
        <v>3.8095238095238099E-2</v>
      </c>
      <c r="K35" s="72">
        <v>488</v>
      </c>
      <c r="L35" s="73">
        <v>5</v>
      </c>
      <c r="M35" s="74">
        <v>0.64400000000000002</v>
      </c>
    </row>
    <row r="36" spans="2:15" ht="18.75" customHeight="1" x14ac:dyDescent="0.35">
      <c r="B36" s="28" t="s">
        <v>45</v>
      </c>
      <c r="C36" s="29"/>
      <c r="D36" s="30">
        <v>43</v>
      </c>
      <c r="F36" s="31">
        <v>1</v>
      </c>
      <c r="G36" s="32">
        <v>1</v>
      </c>
      <c r="I36" s="70">
        <v>0.60099999999999998</v>
      </c>
      <c r="J36" s="71">
        <f>3600/I36/83000</f>
        <v>7.2168875167892901E-2</v>
      </c>
      <c r="K36" s="72">
        <v>256</v>
      </c>
      <c r="L36" s="73">
        <v>5</v>
      </c>
      <c r="M36" s="74">
        <v>0.35599999999999998</v>
      </c>
    </row>
    <row r="37" spans="2:15" ht="18.75" customHeight="1" x14ac:dyDescent="0.35">
      <c r="B37" s="28" t="s">
        <v>37</v>
      </c>
      <c r="C37" s="29"/>
      <c r="D37" s="30">
        <f>($D$4+0.15)/0.95*60</f>
        <v>41.052631578947398</v>
      </c>
      <c r="F37" s="31">
        <v>1</v>
      </c>
      <c r="G37" s="32"/>
      <c r="I37" s="75"/>
      <c r="J37" s="76"/>
      <c r="K37" s="4"/>
      <c r="L37" s="77"/>
      <c r="M37" s="65"/>
    </row>
    <row r="38" spans="2:15" ht="18.75" customHeight="1" x14ac:dyDescent="0.35">
      <c r="B38" s="28" t="s">
        <v>38</v>
      </c>
      <c r="C38" s="29"/>
      <c r="D38" s="30">
        <v>35</v>
      </c>
      <c r="F38" s="31">
        <v>1</v>
      </c>
      <c r="G38" s="32"/>
      <c r="I38" s="73" t="s">
        <v>39</v>
      </c>
      <c r="J38" s="78">
        <f>SUM(D35:D36)/(MAX(D35:D36)*COUNT(D35:D36))</f>
        <v>0.98863636363636398</v>
      </c>
      <c r="K38" s="4"/>
      <c r="L38" s="23"/>
      <c r="M38" s="65"/>
    </row>
    <row r="39" spans="2:15" ht="18.75" customHeight="1" x14ac:dyDescent="0.35">
      <c r="B39" s="28" t="s">
        <v>46</v>
      </c>
      <c r="C39" s="29">
        <v>30</v>
      </c>
      <c r="D39" s="30"/>
      <c r="E39" s="34"/>
      <c r="F39" s="35"/>
      <c r="G39" s="36">
        <v>1</v>
      </c>
      <c r="H39" s="18"/>
      <c r="I39" s="23"/>
      <c r="J39" s="23"/>
      <c r="K39" s="65"/>
    </row>
    <row r="40" spans="2:15" ht="18.75" customHeight="1" x14ac:dyDescent="0.35">
      <c r="B40" s="28" t="s">
        <v>40</v>
      </c>
      <c r="C40" s="29">
        <v>30</v>
      </c>
      <c r="D40" s="30"/>
      <c r="E40" s="34"/>
      <c r="F40" s="35"/>
      <c r="G40" s="36">
        <v>1</v>
      </c>
      <c r="H40" s="18"/>
      <c r="I40" s="23"/>
      <c r="J40" s="23"/>
      <c r="K40" s="65"/>
    </row>
    <row r="41" spans="2:15" ht="18.75" customHeight="1" x14ac:dyDescent="0.35">
      <c r="B41" s="37" t="s">
        <v>41</v>
      </c>
      <c r="C41" s="120">
        <f>MAX(D32:D40)</f>
        <v>44</v>
      </c>
      <c r="D41" s="120"/>
      <c r="E41" s="38"/>
      <c r="F41" s="31">
        <f>SUM(F32:F40)</f>
        <v>5</v>
      </c>
      <c r="G41" s="39">
        <f>SUM(G32:G40)</f>
        <v>5</v>
      </c>
      <c r="H41" s="40"/>
      <c r="I41" s="23"/>
      <c r="J41" s="23"/>
      <c r="K41" s="65"/>
    </row>
    <row r="42" spans="2:15" ht="18.75" customHeight="1" x14ac:dyDescent="0.35">
      <c r="B42" s="41" t="s">
        <v>5</v>
      </c>
      <c r="C42" s="111">
        <f>C41*G41/$C$4</f>
        <v>110</v>
      </c>
      <c r="D42" s="111"/>
      <c r="E42" s="42"/>
      <c r="G42" s="3"/>
      <c r="H42" s="43"/>
      <c r="J42" s="23"/>
      <c r="K42" s="65"/>
    </row>
    <row r="43" spans="2:15" ht="18.75" customHeight="1" x14ac:dyDescent="0.35">
      <c r="B43" s="41" t="s">
        <v>42</v>
      </c>
      <c r="C43" s="111">
        <f>C41*F41/$C$4</f>
        <v>110</v>
      </c>
      <c r="D43" s="111"/>
      <c r="E43" s="42"/>
      <c r="G43" s="3"/>
      <c r="H43" s="43"/>
      <c r="J43" s="23"/>
      <c r="K43" s="65"/>
    </row>
    <row r="44" spans="2:15" ht="18.75" customHeight="1" x14ac:dyDescent="0.35">
      <c r="B44" s="45"/>
      <c r="C44" s="45"/>
      <c r="D44" s="45"/>
      <c r="E44" s="45"/>
      <c r="F44" s="45"/>
      <c r="G44" s="45"/>
      <c r="H44" s="45"/>
      <c r="I44" s="45"/>
      <c r="J44" s="23"/>
      <c r="K44" s="65"/>
    </row>
    <row r="45" spans="2:15" ht="18.75" customHeight="1" x14ac:dyDescent="0.35">
      <c r="B45" s="22" t="s">
        <v>47</v>
      </c>
      <c r="C45" s="19"/>
      <c r="D45" s="19"/>
      <c r="E45" s="19"/>
      <c r="F45" s="23"/>
      <c r="G45" s="24"/>
      <c r="H45" s="24"/>
      <c r="I45" s="23"/>
      <c r="J45" s="23"/>
      <c r="K45" s="65"/>
    </row>
    <row r="46" spans="2:15" ht="31" x14ac:dyDescent="0.3">
      <c r="B46" s="7" t="s">
        <v>22</v>
      </c>
      <c r="C46" s="25" t="s">
        <v>48</v>
      </c>
      <c r="D46" s="25" t="s">
        <v>49</v>
      </c>
      <c r="F46" s="26" t="s">
        <v>25</v>
      </c>
      <c r="G46" s="27" t="s">
        <v>26</v>
      </c>
      <c r="I46" s="79"/>
      <c r="J46" s="79"/>
      <c r="K46" s="80"/>
      <c r="L46" s="79"/>
      <c r="M46" s="79"/>
    </row>
    <row r="47" spans="2:15" ht="18.75" customHeight="1" x14ac:dyDescent="0.35">
      <c r="B47" s="28" t="s">
        <v>47</v>
      </c>
      <c r="C47" s="29">
        <f>17*3+30</f>
        <v>81</v>
      </c>
      <c r="D47" s="30">
        <f>C47*F47/G47</f>
        <v>0</v>
      </c>
      <c r="F47" s="31"/>
      <c r="G47" s="32">
        <v>1</v>
      </c>
      <c r="I47" s="34"/>
      <c r="J47" s="23"/>
      <c r="K47" s="69"/>
      <c r="L47" s="23"/>
      <c r="M47" s="65"/>
      <c r="O47" s="81"/>
    </row>
    <row r="48" spans="2:15" ht="18.75" customHeight="1" x14ac:dyDescent="0.35">
      <c r="B48" s="41" t="s">
        <v>7</v>
      </c>
      <c r="C48" s="111">
        <f>SUM(C47:C47)/$C$4</f>
        <v>40.5</v>
      </c>
      <c r="D48" s="111"/>
      <c r="E48" s="42"/>
      <c r="G48" s="43"/>
      <c r="H48" s="43"/>
      <c r="J48" s="23"/>
      <c r="K48" s="65"/>
    </row>
    <row r="49" spans="2:14" ht="18.75" customHeight="1" x14ac:dyDescent="0.35">
      <c r="B49" s="44" t="s">
        <v>42</v>
      </c>
      <c r="C49" s="111">
        <f>SUM(D47:D47)/$C$4</f>
        <v>0</v>
      </c>
      <c r="D49" s="111"/>
      <c r="E49" s="42"/>
      <c r="G49" s="43"/>
      <c r="H49" s="43"/>
      <c r="J49" s="23"/>
      <c r="K49" s="65"/>
    </row>
    <row r="50" spans="2:14" ht="18.75" customHeight="1" x14ac:dyDescent="0.35">
      <c r="B50" s="45"/>
      <c r="C50" s="45"/>
      <c r="D50" s="45"/>
      <c r="E50" s="45"/>
      <c r="F50" s="45"/>
      <c r="G50" s="45"/>
      <c r="H50" s="45"/>
      <c r="I50" s="45"/>
      <c r="J50" s="23"/>
      <c r="K50" s="65"/>
    </row>
    <row r="51" spans="2:14" s="2" customFormat="1" ht="18.75" customHeight="1" x14ac:dyDescent="0.45">
      <c r="B51" s="46" t="s">
        <v>50</v>
      </c>
      <c r="C51" s="47"/>
      <c r="D51" s="48"/>
      <c r="E51" s="48"/>
      <c r="F51" s="48"/>
      <c r="G51" s="49"/>
      <c r="H51" s="49"/>
      <c r="I51" s="82"/>
      <c r="J51" s="48"/>
      <c r="K51" s="48"/>
      <c r="L51" s="48"/>
    </row>
    <row r="52" spans="2:14" s="2" customFormat="1" ht="37" x14ac:dyDescent="0.3">
      <c r="B52" s="7" t="s">
        <v>22</v>
      </c>
      <c r="C52" s="25" t="s">
        <v>51</v>
      </c>
      <c r="D52" s="25" t="s">
        <v>52</v>
      </c>
      <c r="F52" s="50" t="s">
        <v>25</v>
      </c>
      <c r="G52" s="51" t="s">
        <v>26</v>
      </c>
      <c r="H52" s="52"/>
      <c r="I52" s="83"/>
      <c r="J52" s="84" t="s">
        <v>53</v>
      </c>
      <c r="K52" s="85" t="s">
        <v>54</v>
      </c>
      <c r="L52" s="84" t="s">
        <v>55</v>
      </c>
      <c r="M52" s="84" t="s">
        <v>56</v>
      </c>
      <c r="N52" s="84" t="s">
        <v>57</v>
      </c>
    </row>
    <row r="53" spans="2:14" s="2" customFormat="1" ht="18.75" customHeight="1" x14ac:dyDescent="0.45">
      <c r="B53" s="28" t="s">
        <v>58</v>
      </c>
      <c r="C53" s="29">
        <v>40</v>
      </c>
      <c r="D53" s="29">
        <f>C53/L53</f>
        <v>40</v>
      </c>
      <c r="F53" s="53"/>
      <c r="G53" s="54">
        <f>L53</f>
        <v>1</v>
      </c>
      <c r="H53" s="52"/>
      <c r="I53" s="86" t="s">
        <v>59</v>
      </c>
      <c r="J53" s="87">
        <v>1</v>
      </c>
      <c r="K53" s="88"/>
      <c r="L53" s="89">
        <v>1</v>
      </c>
      <c r="M53" s="90">
        <f>C53/L53</f>
        <v>40</v>
      </c>
      <c r="N53" s="91"/>
    </row>
    <row r="54" spans="2:14" s="2" customFormat="1" ht="18.75" customHeight="1" x14ac:dyDescent="0.45">
      <c r="B54" s="28" t="s">
        <v>60</v>
      </c>
      <c r="C54" s="29">
        <f>K54*8</f>
        <v>0</v>
      </c>
      <c r="D54" s="29" t="e">
        <f>C54/L54</f>
        <v>#DIV/0!</v>
      </c>
      <c r="F54" s="53"/>
      <c r="G54" s="54">
        <f>L54</f>
        <v>0</v>
      </c>
      <c r="H54" s="52"/>
      <c r="I54" s="86" t="s">
        <v>59</v>
      </c>
      <c r="J54" s="87">
        <f>ROUNDUP(C54/$C$56,0)</f>
        <v>0</v>
      </c>
      <c r="K54" s="88"/>
      <c r="L54" s="89">
        <f>IF(J54&gt;10,10,J54)</f>
        <v>0</v>
      </c>
      <c r="M54" s="90" t="e">
        <f>C54/L54</f>
        <v>#DIV/0!</v>
      </c>
      <c r="N54" s="91">
        <v>1</v>
      </c>
    </row>
    <row r="55" spans="2:14" s="2" customFormat="1" ht="18.75" customHeight="1" x14ac:dyDescent="0.45">
      <c r="B55" s="55" t="s">
        <v>61</v>
      </c>
      <c r="C55" s="29">
        <v>40</v>
      </c>
      <c r="D55" s="29">
        <f>C55/L55</f>
        <v>40</v>
      </c>
      <c r="F55" s="53"/>
      <c r="G55" s="54">
        <f>L55</f>
        <v>1</v>
      </c>
      <c r="H55" s="52"/>
      <c r="I55" s="86" t="s">
        <v>59</v>
      </c>
      <c r="J55" s="87">
        <v>1</v>
      </c>
      <c r="K55" s="88"/>
      <c r="L55" s="89">
        <v>1</v>
      </c>
      <c r="M55" s="90">
        <f>C55/L55</f>
        <v>40</v>
      </c>
      <c r="N55" s="91"/>
    </row>
    <row r="56" spans="2:14" s="2" customFormat="1" ht="18.75" customHeight="1" x14ac:dyDescent="0.45">
      <c r="B56" s="28" t="s">
        <v>62</v>
      </c>
      <c r="C56" s="29">
        <f>IF($D$4&gt;0.3,($D$4+0.3)/0.8*60,(0.3+0.4)/0.8*60)</f>
        <v>60</v>
      </c>
      <c r="D56" s="29">
        <f>C56</f>
        <v>60</v>
      </c>
      <c r="F56" s="53">
        <v>1</v>
      </c>
      <c r="G56" s="54">
        <f t="shared" ref="G56:G57" si="0">L56</f>
        <v>0</v>
      </c>
      <c r="H56" s="52"/>
      <c r="I56" s="86"/>
      <c r="J56" s="87"/>
      <c r="K56" s="88"/>
      <c r="L56" s="89"/>
      <c r="M56" s="90">
        <f>D56</f>
        <v>60</v>
      </c>
      <c r="N56" s="91"/>
    </row>
    <row r="57" spans="2:14" s="2" customFormat="1" ht="18.75" customHeight="1" x14ac:dyDescent="0.45">
      <c r="B57" s="56" t="s">
        <v>63</v>
      </c>
      <c r="C57" s="29">
        <v>40</v>
      </c>
      <c r="D57" s="29">
        <f>C57/G57</f>
        <v>40</v>
      </c>
      <c r="F57" s="53"/>
      <c r="G57" s="54">
        <f t="shared" si="0"/>
        <v>1</v>
      </c>
      <c r="H57" s="52"/>
      <c r="I57" s="86" t="s">
        <v>59</v>
      </c>
      <c r="J57" s="87">
        <f>ROUNDUP(C57/$C$56,0)</f>
        <v>1</v>
      </c>
      <c r="K57" s="88"/>
      <c r="L57" s="89">
        <v>1</v>
      </c>
      <c r="M57" s="90">
        <f>C57/L57</f>
        <v>40</v>
      </c>
      <c r="N57" s="91"/>
    </row>
    <row r="58" spans="2:14" s="2" customFormat="1" ht="18.75" customHeight="1" x14ac:dyDescent="0.45">
      <c r="B58" s="28" t="s">
        <v>64</v>
      </c>
      <c r="C58" s="29">
        <v>40</v>
      </c>
      <c r="D58" s="29">
        <f t="shared" ref="D58:D60" si="1">C58/G58</f>
        <v>40</v>
      </c>
      <c r="F58" s="53"/>
      <c r="G58" s="54">
        <v>1</v>
      </c>
      <c r="H58" s="52"/>
      <c r="I58" s="86" t="s">
        <v>59</v>
      </c>
      <c r="J58" s="87">
        <f>ROUNDUP(C58/$C$56,0)</f>
        <v>1</v>
      </c>
      <c r="K58" s="88"/>
      <c r="L58" s="89">
        <v>1</v>
      </c>
      <c r="M58" s="90">
        <f t="shared" ref="M58:M60" si="2">C58/L58</f>
        <v>40</v>
      </c>
      <c r="N58" s="91"/>
    </row>
    <row r="59" spans="2:14" s="2" customFormat="1" ht="18.75" customHeight="1" x14ac:dyDescent="0.45">
      <c r="B59" s="28" t="s">
        <v>65</v>
      </c>
      <c r="C59" s="29">
        <v>40</v>
      </c>
      <c r="D59" s="29">
        <f t="shared" si="1"/>
        <v>40</v>
      </c>
      <c r="F59" s="53"/>
      <c r="G59" s="54">
        <v>1</v>
      </c>
      <c r="H59" s="52"/>
      <c r="I59" s="86" t="s">
        <v>59</v>
      </c>
      <c r="J59" s="87">
        <f>ROUNDUP(C59/$C$56,0)</f>
        <v>1</v>
      </c>
      <c r="K59" s="88"/>
      <c r="L59" s="89">
        <v>1</v>
      </c>
      <c r="M59" s="90">
        <f t="shared" si="2"/>
        <v>40</v>
      </c>
      <c r="N59" s="91"/>
    </row>
    <row r="60" spans="2:14" s="2" customFormat="1" ht="18.75" customHeight="1" x14ac:dyDescent="0.45">
      <c r="B60" s="28" t="s">
        <v>67</v>
      </c>
      <c r="C60" s="29">
        <v>40</v>
      </c>
      <c r="D60" s="29">
        <f t="shared" si="1"/>
        <v>40</v>
      </c>
      <c r="F60" s="53"/>
      <c r="G60" s="54">
        <v>1</v>
      </c>
      <c r="H60" s="52"/>
      <c r="I60" s="86" t="s">
        <v>59</v>
      </c>
      <c r="J60" s="87">
        <f>ROUNDUP(C60/$C$56,0)</f>
        <v>1</v>
      </c>
      <c r="K60" s="88"/>
      <c r="L60" s="89">
        <v>4</v>
      </c>
      <c r="M60" s="90">
        <f t="shared" si="2"/>
        <v>10</v>
      </c>
      <c r="N60" s="91"/>
    </row>
    <row r="61" spans="2:14" s="2" customFormat="1" ht="18.75" customHeight="1" x14ac:dyDescent="0.45">
      <c r="B61" s="41" t="s">
        <v>6</v>
      </c>
      <c r="C61" s="125">
        <f>IF($K$54&gt;0,MAX(D53:D60)*G61/C4,0)</f>
        <v>0</v>
      </c>
      <c r="D61" s="126"/>
      <c r="E61" s="57"/>
      <c r="F61" s="2">
        <f>SUM(F53:F60)</f>
        <v>1</v>
      </c>
      <c r="G61" s="2">
        <f>SUM(G53:G60)</f>
        <v>6</v>
      </c>
      <c r="H61" s="52"/>
      <c r="I61" s="86" t="s">
        <v>68</v>
      </c>
      <c r="J61" s="87">
        <f>SUM(J53:J60)</f>
        <v>6</v>
      </c>
      <c r="K61" s="88"/>
      <c r="L61" s="92">
        <f>SUM(L53:L60)</f>
        <v>9</v>
      </c>
      <c r="M61" s="93" t="e">
        <f>MAX(M53:M60)*L61</f>
        <v>#DIV/0!</v>
      </c>
      <c r="N61" s="89"/>
    </row>
    <row r="62" spans="2:14" s="2" customFormat="1" ht="18.75" customHeight="1" x14ac:dyDescent="0.45">
      <c r="B62" s="58" t="s">
        <v>42</v>
      </c>
      <c r="C62" s="125">
        <f>IF($K$54&gt;0,MAX(D53:D60)*F61/C4,0)</f>
        <v>0</v>
      </c>
      <c r="D62" s="126"/>
      <c r="E62" s="59"/>
      <c r="F62" s="60"/>
      <c r="G62" s="61"/>
      <c r="H62" s="61"/>
      <c r="I62" s="94"/>
      <c r="J62" s="60"/>
      <c r="K62" s="60"/>
      <c r="L62" s="60"/>
    </row>
    <row r="64" spans="2:14" ht="18.75" customHeight="1" x14ac:dyDescent="0.35">
      <c r="B64" s="22" t="s">
        <v>69</v>
      </c>
      <c r="C64" s="19"/>
      <c r="D64" s="19"/>
      <c r="E64" s="19"/>
      <c r="F64" s="23"/>
      <c r="G64" s="24"/>
      <c r="H64" s="24"/>
      <c r="I64" s="23"/>
      <c r="J64" s="23"/>
      <c r="K64" s="65"/>
    </row>
    <row r="65" spans="2:15" ht="31" x14ac:dyDescent="0.3">
      <c r="B65" s="7" t="s">
        <v>22</v>
      </c>
      <c r="C65" s="25" t="s">
        <v>48</v>
      </c>
      <c r="D65" s="25" t="s">
        <v>49</v>
      </c>
      <c r="F65" s="26" t="s">
        <v>25</v>
      </c>
      <c r="G65" s="27" t="s">
        <v>26</v>
      </c>
      <c r="I65" s="79"/>
      <c r="J65" s="79"/>
      <c r="K65" s="80"/>
      <c r="L65" s="79"/>
      <c r="M65" s="79"/>
    </row>
    <row r="66" spans="2:15" ht="18.75" customHeight="1" x14ac:dyDescent="0.35">
      <c r="B66" s="28" t="s">
        <v>69</v>
      </c>
      <c r="C66" s="29">
        <v>0</v>
      </c>
      <c r="D66" s="30">
        <f>C66*F66</f>
        <v>0</v>
      </c>
      <c r="F66" s="31">
        <v>1</v>
      </c>
      <c r="G66" s="32">
        <v>1</v>
      </c>
      <c r="I66" s="34"/>
      <c r="J66" s="23"/>
      <c r="K66" s="69"/>
      <c r="L66" s="23"/>
      <c r="M66" s="65"/>
      <c r="O66" s="81"/>
    </row>
    <row r="67" spans="2:15" ht="18.75" customHeight="1" x14ac:dyDescent="0.35">
      <c r="B67" s="41" t="s">
        <v>8</v>
      </c>
      <c r="C67" s="111">
        <f>SUM(C66:C66)*G66/$C$4</f>
        <v>0</v>
      </c>
      <c r="D67" s="111"/>
      <c r="E67" s="42"/>
      <c r="G67" s="43"/>
      <c r="H67" s="43"/>
      <c r="J67" s="23"/>
      <c r="K67" s="65"/>
    </row>
    <row r="68" spans="2:15" ht="18.75" customHeight="1" x14ac:dyDescent="0.35">
      <c r="B68" s="44" t="s">
        <v>42</v>
      </c>
      <c r="C68" s="111">
        <f>SUM(D66:D66)/$C$4</f>
        <v>0</v>
      </c>
      <c r="D68" s="111"/>
      <c r="E68" s="42"/>
      <c r="G68" s="43"/>
      <c r="H68" s="43"/>
      <c r="J68" s="23"/>
      <c r="K68" s="65"/>
    </row>
    <row r="69" spans="2:15" ht="18.75" customHeight="1" x14ac:dyDescent="0.35">
      <c r="B69" s="45"/>
      <c r="C69" s="45"/>
      <c r="D69" s="45"/>
      <c r="E69" s="45"/>
      <c r="F69" s="45"/>
      <c r="G69" s="45"/>
      <c r="H69" s="45"/>
      <c r="I69" s="45"/>
      <c r="J69" s="23"/>
      <c r="K69" s="65"/>
    </row>
    <row r="70" spans="2:15" ht="18.75" customHeight="1" x14ac:dyDescent="0.4">
      <c r="B70" s="62" t="s">
        <v>70</v>
      </c>
      <c r="C70" s="19"/>
      <c r="D70" s="19"/>
      <c r="E70" s="19"/>
      <c r="F70" s="23"/>
      <c r="G70" s="24"/>
      <c r="H70" s="24"/>
      <c r="I70" s="23"/>
      <c r="J70" s="23"/>
      <c r="K70" s="65"/>
    </row>
    <row r="71" spans="2:15" ht="31" x14ac:dyDescent="0.3">
      <c r="B71" s="7" t="s">
        <v>22</v>
      </c>
      <c r="C71" s="25" t="s">
        <v>48</v>
      </c>
      <c r="D71" s="25" t="s">
        <v>49</v>
      </c>
      <c r="F71" s="26" t="s">
        <v>25</v>
      </c>
      <c r="G71" s="27" t="s">
        <v>26</v>
      </c>
      <c r="I71" s="79"/>
      <c r="J71" s="79"/>
      <c r="K71" s="80"/>
      <c r="L71" s="79"/>
      <c r="M71" s="79"/>
    </row>
    <row r="72" spans="2:15" ht="18.75" customHeight="1" x14ac:dyDescent="0.35">
      <c r="B72" s="55" t="s">
        <v>70</v>
      </c>
      <c r="C72" s="29">
        <v>0</v>
      </c>
      <c r="D72" s="30">
        <f>C72*F72</f>
        <v>0</v>
      </c>
      <c r="F72" s="31"/>
      <c r="G72" s="32">
        <v>1</v>
      </c>
      <c r="I72" s="34"/>
      <c r="J72" s="23"/>
      <c r="K72" s="69"/>
      <c r="L72" s="23"/>
      <c r="M72" s="65"/>
      <c r="O72" s="81"/>
    </row>
    <row r="73" spans="2:15" ht="18.75" customHeight="1" x14ac:dyDescent="0.35">
      <c r="B73" s="41" t="s">
        <v>9</v>
      </c>
      <c r="C73" s="111">
        <f>SUM(C72:C72)*G72/$C$4</f>
        <v>0</v>
      </c>
      <c r="D73" s="111"/>
      <c r="E73" s="42"/>
      <c r="G73" s="43"/>
      <c r="H73" s="43"/>
      <c r="J73" s="23"/>
      <c r="K73" s="65"/>
    </row>
    <row r="74" spans="2:15" ht="18.75" customHeight="1" x14ac:dyDescent="0.35">
      <c r="B74" s="44" t="s">
        <v>42</v>
      </c>
      <c r="C74" s="111">
        <f>SUM(D72:D72)/$C$4</f>
        <v>0</v>
      </c>
      <c r="D74" s="111"/>
      <c r="E74" s="42"/>
      <c r="G74" s="43"/>
      <c r="H74" s="43"/>
      <c r="J74" s="23"/>
      <c r="K74" s="65"/>
    </row>
    <row r="75" spans="2:15" ht="18.75" customHeight="1" x14ac:dyDescent="0.35">
      <c r="B75" s="45"/>
      <c r="C75" s="45"/>
      <c r="D75" s="45"/>
      <c r="E75" s="45"/>
      <c r="F75" s="45"/>
      <c r="G75" s="45"/>
      <c r="H75" s="45"/>
      <c r="I75" s="45"/>
      <c r="J75" s="23"/>
      <c r="K75" s="65"/>
    </row>
    <row r="76" spans="2:15" x14ac:dyDescent="0.35">
      <c r="B76" s="95" t="s">
        <v>71</v>
      </c>
      <c r="C76" s="96"/>
      <c r="D76" s="96"/>
      <c r="E76" s="96"/>
      <c r="F76" s="97"/>
      <c r="G76" s="98"/>
      <c r="H76" s="99"/>
      <c r="I76" s="99"/>
      <c r="J76" s="99"/>
      <c r="K76" s="99"/>
      <c r="L76" s="99"/>
      <c r="M76" s="99"/>
      <c r="N76" s="99"/>
    </row>
    <row r="77" spans="2:15" ht="31" x14ac:dyDescent="0.35">
      <c r="B77" s="7" t="s">
        <v>22</v>
      </c>
      <c r="C77" s="25" t="s">
        <v>48</v>
      </c>
      <c r="D77" s="25" t="s">
        <v>49</v>
      </c>
      <c r="E77" s="100"/>
      <c r="F77" s="26" t="s">
        <v>25</v>
      </c>
      <c r="G77" s="27" t="s">
        <v>26</v>
      </c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101" t="s">
        <v>2</v>
      </c>
      <c r="C78" s="102">
        <v>40</v>
      </c>
      <c r="D78" s="103">
        <f>C78*F78</f>
        <v>40</v>
      </c>
      <c r="E78" s="100"/>
      <c r="F78" s="104">
        <v>1</v>
      </c>
      <c r="G78" s="105">
        <v>1</v>
      </c>
      <c r="H78" s="99"/>
      <c r="I78" s="99"/>
      <c r="J78" s="99"/>
      <c r="K78" s="99"/>
      <c r="L78" s="99"/>
      <c r="M78" s="99"/>
      <c r="N78" s="99"/>
    </row>
    <row r="79" spans="2:15" ht="20.25" customHeight="1" x14ac:dyDescent="0.35">
      <c r="B79" s="106" t="s">
        <v>72</v>
      </c>
      <c r="C79" s="102"/>
      <c r="D79" s="103"/>
      <c r="E79" s="100"/>
      <c r="F79" s="104"/>
      <c r="G79" s="105">
        <v>1</v>
      </c>
      <c r="H79" s="99"/>
      <c r="I79" s="99"/>
      <c r="J79" s="99"/>
      <c r="K79" s="99"/>
      <c r="L79" s="99"/>
      <c r="M79" s="99"/>
      <c r="N79" s="99"/>
    </row>
    <row r="80" spans="2:15" ht="20.25" customHeight="1" x14ac:dyDescent="0.35">
      <c r="B80" s="106" t="s">
        <v>11</v>
      </c>
      <c r="C80" s="102"/>
      <c r="D80" s="103"/>
      <c r="E80" s="100"/>
      <c r="F80" s="104"/>
      <c r="G80" s="105"/>
      <c r="H80" s="99"/>
      <c r="I80" s="99"/>
      <c r="J80" s="99"/>
      <c r="K80" s="99"/>
      <c r="L80" s="99"/>
      <c r="M80" s="99"/>
      <c r="N80" s="99"/>
    </row>
    <row r="81" spans="2:14" ht="20.25" customHeight="1" x14ac:dyDescent="0.35">
      <c r="B81" s="106" t="s">
        <v>73</v>
      </c>
      <c r="C81" s="102">
        <f>D81*G81/F81</f>
        <v>40</v>
      </c>
      <c r="D81" s="102">
        <f>60/3</f>
        <v>20</v>
      </c>
      <c r="E81" s="100"/>
      <c r="F81" s="104">
        <v>1</v>
      </c>
      <c r="G81" s="105">
        <v>2</v>
      </c>
      <c r="H81" s="99"/>
      <c r="I81" s="99"/>
      <c r="J81" s="99"/>
      <c r="K81" s="99"/>
      <c r="L81" s="99"/>
      <c r="M81" s="99"/>
      <c r="N81" s="99"/>
    </row>
    <row r="82" spans="2:14" ht="20.25" customHeight="1" x14ac:dyDescent="0.35">
      <c r="B82" s="106" t="s">
        <v>74</v>
      </c>
      <c r="C82" s="102">
        <f>D81*G82/F81</f>
        <v>40</v>
      </c>
      <c r="D82" s="103"/>
      <c r="E82" s="100"/>
      <c r="F82" s="104"/>
      <c r="G82" s="105">
        <v>2</v>
      </c>
      <c r="H82" s="99"/>
      <c r="I82" s="99"/>
      <c r="J82" s="99"/>
      <c r="K82" s="99"/>
      <c r="L82" s="99"/>
      <c r="M82" s="99"/>
      <c r="N82" s="99"/>
    </row>
    <row r="83" spans="2:14" ht="20.25" customHeight="1" x14ac:dyDescent="0.35">
      <c r="B83" s="106" t="s">
        <v>75</v>
      </c>
      <c r="C83" s="102">
        <f>D81*G83/F81</f>
        <v>40</v>
      </c>
      <c r="D83" s="103"/>
      <c r="E83" s="100"/>
      <c r="F83" s="104"/>
      <c r="G83" s="105">
        <v>2</v>
      </c>
      <c r="H83" s="99"/>
      <c r="I83" s="99"/>
      <c r="J83" s="99"/>
      <c r="K83" s="99"/>
      <c r="L83" s="99"/>
      <c r="M83" s="99"/>
      <c r="N83" s="99"/>
    </row>
    <row r="84" spans="2:14" ht="20.25" customHeight="1" x14ac:dyDescent="0.35">
      <c r="B84" s="41" t="s">
        <v>10</v>
      </c>
      <c r="C84" s="112">
        <f>SUM(C78:C83)</f>
        <v>160</v>
      </c>
      <c r="D84" s="113"/>
      <c r="E84" s="107"/>
      <c r="F84" s="100"/>
      <c r="G84" s="108"/>
      <c r="H84" s="99"/>
      <c r="I84" s="99"/>
      <c r="J84" s="99"/>
      <c r="K84" s="99"/>
      <c r="L84" s="99"/>
      <c r="M84" s="99"/>
      <c r="N84" s="99"/>
    </row>
    <row r="85" spans="2:14" ht="20.25" customHeight="1" x14ac:dyDescent="0.35">
      <c r="B85" s="109" t="s">
        <v>42</v>
      </c>
      <c r="C85" s="112">
        <f>SUM(D78:D83)</f>
        <v>60</v>
      </c>
      <c r="D85" s="113"/>
      <c r="E85" s="107"/>
      <c r="F85" s="100"/>
      <c r="G85" s="108"/>
      <c r="H85" s="99"/>
      <c r="I85" s="99"/>
      <c r="J85" s="99"/>
      <c r="K85" s="99"/>
      <c r="L85" s="99"/>
      <c r="M85" s="99"/>
      <c r="N85" s="99"/>
    </row>
  </sheetData>
  <mergeCells count="24">
    <mergeCell ref="B1:F1"/>
    <mergeCell ref="C2:F2"/>
    <mergeCell ref="C13:D13"/>
    <mergeCell ref="C14:D14"/>
    <mergeCell ref="C26:D26"/>
    <mergeCell ref="B3:B4"/>
    <mergeCell ref="C4:C5"/>
    <mergeCell ref="D4:D5"/>
    <mergeCell ref="B8:G9"/>
    <mergeCell ref="C27:D27"/>
    <mergeCell ref="C28:D28"/>
    <mergeCell ref="C41:D41"/>
    <mergeCell ref="C42:D42"/>
    <mergeCell ref="C43:D43"/>
    <mergeCell ref="C48:D48"/>
    <mergeCell ref="C49:D49"/>
    <mergeCell ref="C61:D61"/>
    <mergeCell ref="C62:D62"/>
    <mergeCell ref="C67:D67"/>
    <mergeCell ref="C68:D68"/>
    <mergeCell ref="C73:D73"/>
    <mergeCell ref="C74:D74"/>
    <mergeCell ref="C84:D84"/>
    <mergeCell ref="C85:D85"/>
  </mergeCells>
  <phoneticPr fontId="31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>
    <tabColor rgb="FFFFFF00"/>
  </sheetPr>
  <dimension ref="B1:O85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hidden="1" customWidth="1" outlineLevel="1"/>
    <col min="10" max="11" width="10.5" style="3" hidden="1" customWidth="1" outlineLevel="1"/>
    <col min="12" max="12" width="15.33203125" style="3" hidden="1" customWidth="1" outlineLevel="1"/>
    <col min="13" max="13" width="12.58203125" style="3" hidden="1" customWidth="1" outlineLevel="1"/>
    <col min="14" max="14" width="15.58203125" style="3" customWidth="1" collapsed="1"/>
    <col min="15" max="16384" width="8.25" style="3"/>
  </cols>
  <sheetData>
    <row r="1" spans="2:15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5" x14ac:dyDescent="0.35">
      <c r="B2" s="7" t="s">
        <v>13</v>
      </c>
      <c r="C2" s="123" t="s">
        <v>88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5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5" ht="18.75" customHeight="1" x14ac:dyDescent="0.35">
      <c r="B4" s="115"/>
      <c r="C4" s="116">
        <v>2</v>
      </c>
      <c r="D4" s="118">
        <v>0.5</v>
      </c>
      <c r="E4" s="12">
        <f>K21</f>
        <v>1084</v>
      </c>
      <c r="F4" s="12">
        <f>K22</f>
        <v>776</v>
      </c>
      <c r="L4" s="6"/>
      <c r="M4" s="8"/>
    </row>
    <row r="5" spans="2:15" ht="18.75" customHeight="1" x14ac:dyDescent="0.35">
      <c r="B5" s="11"/>
      <c r="C5" s="117"/>
      <c r="D5" s="118"/>
      <c r="E5" s="12">
        <f>K35</f>
        <v>464</v>
      </c>
      <c r="F5" s="12">
        <f>K36</f>
        <v>296</v>
      </c>
      <c r="H5" s="10"/>
      <c r="I5" s="10"/>
      <c r="J5" s="10"/>
      <c r="L5" s="6"/>
      <c r="M5" s="8"/>
    </row>
    <row r="6" spans="2:15" ht="18.75" customHeight="1" x14ac:dyDescent="0.35">
      <c r="B6" s="13" t="s">
        <v>0</v>
      </c>
      <c r="C6" s="14">
        <f>C27+C42+C61+C84+C48+C67+C73+C13</f>
        <v>601</v>
      </c>
      <c r="D6" s="15">
        <f>(C6-F6)/0.8</f>
        <v>701.25</v>
      </c>
      <c r="E6" s="16" t="s">
        <v>20</v>
      </c>
      <c r="F6" s="17">
        <f>VLOOKUP(E6,$B$68:$C$82,2,0)</f>
        <v>40</v>
      </c>
      <c r="G6" s="18"/>
      <c r="H6" s="10"/>
      <c r="I6" s="19"/>
      <c r="J6" s="23"/>
      <c r="K6" s="65"/>
      <c r="N6" s="4"/>
    </row>
    <row r="7" spans="2:15" ht="18.75" customHeight="1" x14ac:dyDescent="0.35">
      <c r="B7" s="13" t="s">
        <v>1</v>
      </c>
      <c r="C7" s="14">
        <f>C28+C43+C62+C85+C49+C68+C74+C14</f>
        <v>276</v>
      </c>
      <c r="D7" s="19"/>
      <c r="E7" s="20"/>
      <c r="F7" s="19"/>
      <c r="G7" s="18"/>
      <c r="H7" s="18"/>
      <c r="I7" s="19"/>
      <c r="J7" s="23"/>
      <c r="K7" s="65"/>
      <c r="N7" s="4"/>
    </row>
    <row r="8" spans="2:15" x14ac:dyDescent="0.35">
      <c r="B8" s="119" t="s">
        <v>82</v>
      </c>
      <c r="C8" s="119"/>
      <c r="D8" s="119"/>
      <c r="E8" s="119"/>
      <c r="F8" s="119"/>
      <c r="G8" s="119"/>
      <c r="H8" s="21"/>
      <c r="I8" s="21"/>
      <c r="J8" s="23"/>
      <c r="K8" s="65"/>
    </row>
    <row r="9" spans="2:15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5" ht="18.75" customHeight="1" x14ac:dyDescent="0.4">
      <c r="B10" s="62" t="s">
        <v>87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5" ht="31" x14ac:dyDescent="0.3">
      <c r="B11" s="7" t="s">
        <v>22</v>
      </c>
      <c r="C11" s="25" t="s">
        <v>48</v>
      </c>
      <c r="D11" s="25" t="s">
        <v>49</v>
      </c>
      <c r="F11" s="26" t="s">
        <v>25</v>
      </c>
      <c r="G11" s="27" t="s">
        <v>26</v>
      </c>
      <c r="I11" s="79"/>
      <c r="J11" s="79"/>
      <c r="K11" s="80"/>
      <c r="L11" s="79"/>
      <c r="M11" s="79"/>
    </row>
    <row r="12" spans="2:15" ht="18.75" customHeight="1" x14ac:dyDescent="0.35">
      <c r="B12" s="55" t="s">
        <v>87</v>
      </c>
      <c r="C12" s="29">
        <f>(10*2+10)*2</f>
        <v>60</v>
      </c>
      <c r="D12" s="30"/>
      <c r="F12" s="31"/>
      <c r="G12" s="32">
        <v>1</v>
      </c>
      <c r="I12" s="34"/>
      <c r="J12" s="23"/>
      <c r="K12" s="69"/>
      <c r="L12" s="23"/>
      <c r="M12" s="65"/>
      <c r="O12" s="81"/>
    </row>
    <row r="13" spans="2:15" ht="18.75" customHeight="1" x14ac:dyDescent="0.35">
      <c r="B13" s="110" t="s">
        <v>3</v>
      </c>
      <c r="C13" s="111">
        <f>SUM(C12:C12)/$C$4</f>
        <v>30</v>
      </c>
      <c r="D13" s="111"/>
      <c r="E13" s="42"/>
      <c r="G13" s="43"/>
      <c r="H13" s="43"/>
      <c r="J13" s="23"/>
      <c r="K13" s="65"/>
    </row>
    <row r="14" spans="2:15" ht="18.75" customHeight="1" x14ac:dyDescent="0.35">
      <c r="B14" s="44" t="s">
        <v>42</v>
      </c>
      <c r="C14" s="111">
        <f>SUM(D12:D12)/$C$4</f>
        <v>0</v>
      </c>
      <c r="D14" s="111"/>
      <c r="E14" s="42"/>
      <c r="G14" s="43"/>
      <c r="H14" s="43"/>
      <c r="J14" s="23"/>
      <c r="K14" s="65"/>
    </row>
    <row r="15" spans="2:15" ht="18.75" customHeight="1" x14ac:dyDescent="0.35">
      <c r="B15" s="45"/>
      <c r="C15" s="45"/>
      <c r="D15" s="45"/>
      <c r="E15" s="45"/>
      <c r="F15" s="45"/>
      <c r="G15" s="45"/>
      <c r="H15" s="45"/>
      <c r="I15" s="45"/>
      <c r="J15" s="23"/>
      <c r="K15" s="65"/>
    </row>
    <row r="16" spans="2:15" ht="18.75" customHeight="1" x14ac:dyDescent="0.35">
      <c r="B16" s="22" t="s">
        <v>21</v>
      </c>
      <c r="C16" s="19"/>
      <c r="D16" s="19"/>
      <c r="E16" s="19"/>
      <c r="F16" s="23"/>
      <c r="G16" s="24"/>
      <c r="H16" s="24"/>
      <c r="I16" s="23"/>
      <c r="J16" s="23"/>
      <c r="K16" s="65"/>
    </row>
    <row r="17" spans="2:13" ht="31" x14ac:dyDescent="0.3">
      <c r="B17" s="7" t="s">
        <v>22</v>
      </c>
      <c r="C17" s="25" t="s">
        <v>23</v>
      </c>
      <c r="D17" s="25" t="s">
        <v>24</v>
      </c>
      <c r="F17" s="26" t="s">
        <v>25</v>
      </c>
      <c r="G17" s="27" t="s">
        <v>26</v>
      </c>
      <c r="I17" s="66" t="s">
        <v>27</v>
      </c>
      <c r="J17" s="67" t="s">
        <v>28</v>
      </c>
      <c r="K17" s="68" t="s">
        <v>29</v>
      </c>
      <c r="L17" s="66" t="s">
        <v>30</v>
      </c>
      <c r="M17" s="66" t="s">
        <v>31</v>
      </c>
    </row>
    <row r="18" spans="2:13" ht="18.75" customHeight="1" x14ac:dyDescent="0.35">
      <c r="B18" s="28" t="s">
        <v>32</v>
      </c>
      <c r="C18" s="29">
        <v>60</v>
      </c>
      <c r="D18" s="30"/>
      <c r="F18" s="31"/>
      <c r="G18" s="32">
        <v>2</v>
      </c>
      <c r="I18" s="34"/>
      <c r="J18" s="23"/>
      <c r="K18" s="69"/>
      <c r="L18" s="23"/>
      <c r="M18" s="65"/>
    </row>
    <row r="19" spans="2:13" ht="18.75" customHeight="1" x14ac:dyDescent="0.35">
      <c r="B19" s="28" t="s">
        <v>33</v>
      </c>
      <c r="C19" s="29"/>
      <c r="D19" s="33">
        <v>35</v>
      </c>
      <c r="F19" s="31">
        <v>1</v>
      </c>
      <c r="G19" s="32"/>
      <c r="I19" s="34"/>
      <c r="J19" s="23"/>
      <c r="K19" s="69"/>
      <c r="L19" s="23"/>
      <c r="M19" s="65"/>
    </row>
    <row r="20" spans="2:13" ht="18.75" customHeight="1" x14ac:dyDescent="0.35">
      <c r="B20" s="28" t="s">
        <v>34</v>
      </c>
      <c r="C20" s="29"/>
      <c r="D20" s="30">
        <v>30</v>
      </c>
      <c r="F20" s="31"/>
      <c r="G20" s="32"/>
      <c r="I20" s="34"/>
      <c r="J20" s="23"/>
      <c r="K20" s="69"/>
      <c r="L20" s="23"/>
      <c r="M20" s="65"/>
    </row>
    <row r="21" spans="2:13" ht="18.75" customHeight="1" x14ac:dyDescent="0.35">
      <c r="B21" s="28" t="s">
        <v>35</v>
      </c>
      <c r="C21" s="29"/>
      <c r="D21" s="30">
        <v>69</v>
      </c>
      <c r="F21" s="31">
        <v>1</v>
      </c>
      <c r="G21" s="32">
        <v>1</v>
      </c>
      <c r="I21" s="70">
        <v>0.63</v>
      </c>
      <c r="J21" s="71">
        <f>3600/I21/150000</f>
        <v>3.8095238095238099E-2</v>
      </c>
      <c r="K21" s="72">
        <v>1084</v>
      </c>
      <c r="L21" s="73">
        <v>5</v>
      </c>
      <c r="M21" s="74">
        <v>0.64400000000000002</v>
      </c>
    </row>
    <row r="22" spans="2:13" ht="18.75" customHeight="1" x14ac:dyDescent="0.35">
      <c r="B22" s="28" t="s">
        <v>36</v>
      </c>
      <c r="C22" s="29"/>
      <c r="D22" s="30">
        <v>68</v>
      </c>
      <c r="F22" s="31"/>
      <c r="G22" s="32">
        <v>1</v>
      </c>
      <c r="I22" s="70">
        <v>0.60099999999999998</v>
      </c>
      <c r="J22" s="71">
        <f>3600/I22/83000</f>
        <v>7.2168875167892901E-2</v>
      </c>
      <c r="K22" s="72">
        <v>776</v>
      </c>
      <c r="L22" s="73">
        <v>5</v>
      </c>
      <c r="M22" s="74">
        <v>0.35599999999999998</v>
      </c>
    </row>
    <row r="23" spans="2:13" ht="18.75" customHeight="1" x14ac:dyDescent="0.35">
      <c r="B23" s="28" t="s">
        <v>37</v>
      </c>
      <c r="C23" s="29"/>
      <c r="D23" s="30">
        <f>($D$4+0.15)/0.95*60</f>
        <v>41.052631578947398</v>
      </c>
      <c r="F23" s="31">
        <v>1</v>
      </c>
      <c r="G23" s="32"/>
      <c r="I23" s="75"/>
      <c r="J23" s="76"/>
      <c r="K23" s="4"/>
      <c r="L23" s="77"/>
      <c r="M23" s="65"/>
    </row>
    <row r="24" spans="2:13" ht="18.75" customHeight="1" x14ac:dyDescent="0.35">
      <c r="B24" s="28" t="s">
        <v>38</v>
      </c>
      <c r="C24" s="29"/>
      <c r="D24" s="30">
        <v>35</v>
      </c>
      <c r="F24" s="31"/>
      <c r="G24" s="32"/>
      <c r="I24" s="73" t="s">
        <v>39</v>
      </c>
      <c r="J24" s="78">
        <f>SUM(D21:D22)/(MAX(D21:D22)*COUNT(D21:D22))</f>
        <v>0.99275362318840599</v>
      </c>
      <c r="K24" s="4"/>
      <c r="L24" s="23"/>
      <c r="M24" s="65"/>
    </row>
    <row r="25" spans="2:13" ht="18.75" customHeight="1" x14ac:dyDescent="0.35">
      <c r="B25" s="28" t="s">
        <v>40</v>
      </c>
      <c r="C25" s="29">
        <v>30</v>
      </c>
      <c r="D25" s="30"/>
      <c r="E25" s="34"/>
      <c r="F25" s="35"/>
      <c r="G25" s="36">
        <v>1</v>
      </c>
      <c r="H25" s="18"/>
      <c r="I25" s="23"/>
      <c r="J25" s="23"/>
      <c r="K25" s="65"/>
    </row>
    <row r="26" spans="2:13" ht="18.75" customHeight="1" x14ac:dyDescent="0.35">
      <c r="B26" s="37" t="s">
        <v>41</v>
      </c>
      <c r="C26" s="120">
        <f>MAX(D18:D25)</f>
        <v>69</v>
      </c>
      <c r="D26" s="120"/>
      <c r="E26" s="38"/>
      <c r="F26" s="31">
        <f>SUM(F18:F25)</f>
        <v>3</v>
      </c>
      <c r="G26" s="39">
        <f>SUM(G18:G25)</f>
        <v>5</v>
      </c>
      <c r="H26" s="40"/>
      <c r="I26" s="23"/>
      <c r="J26" s="23"/>
      <c r="K26" s="65"/>
    </row>
    <row r="27" spans="2:13" ht="18.75" customHeight="1" x14ac:dyDescent="0.35">
      <c r="B27" s="41" t="s">
        <v>4</v>
      </c>
      <c r="C27" s="111">
        <f>C26*G26/$C$4</f>
        <v>172.5</v>
      </c>
      <c r="D27" s="111"/>
      <c r="E27" s="42"/>
      <c r="G27" s="3"/>
      <c r="H27" s="43"/>
      <c r="J27" s="23"/>
      <c r="K27" s="65"/>
    </row>
    <row r="28" spans="2:13" ht="18.75" customHeight="1" x14ac:dyDescent="0.35">
      <c r="B28" s="44" t="s">
        <v>42</v>
      </c>
      <c r="C28" s="111">
        <f>C26*F26/$C$4</f>
        <v>103.5</v>
      </c>
      <c r="D28" s="111"/>
      <c r="E28" s="42"/>
      <c r="G28" s="3"/>
      <c r="H28" s="43"/>
      <c r="J28" s="23"/>
      <c r="K28" s="65"/>
    </row>
    <row r="29" spans="2:13" ht="18.75" customHeight="1" x14ac:dyDescent="0.35">
      <c r="B29" s="45"/>
      <c r="C29" s="45"/>
      <c r="D29" s="45"/>
      <c r="E29" s="45"/>
      <c r="F29" s="45"/>
      <c r="G29" s="45"/>
      <c r="H29" s="45"/>
      <c r="I29" s="45"/>
      <c r="J29" s="23"/>
      <c r="K29" s="65"/>
    </row>
    <row r="30" spans="2:13" ht="18.75" customHeight="1" x14ac:dyDescent="0.35">
      <c r="B30" s="22" t="s">
        <v>43</v>
      </c>
      <c r="C30" s="19"/>
      <c r="D30" s="19"/>
      <c r="E30" s="19"/>
      <c r="F30" s="23"/>
      <c r="G30" s="24"/>
      <c r="H30" s="24"/>
      <c r="I30" s="23"/>
      <c r="J30" s="23"/>
      <c r="K30" s="65"/>
    </row>
    <row r="31" spans="2:13" ht="31" x14ac:dyDescent="0.3">
      <c r="B31" s="7" t="s">
        <v>22</v>
      </c>
      <c r="C31" s="25" t="s">
        <v>23</v>
      </c>
      <c r="D31" s="25" t="s">
        <v>24</v>
      </c>
      <c r="F31" s="26" t="s">
        <v>25</v>
      </c>
      <c r="G31" s="27" t="s">
        <v>26</v>
      </c>
      <c r="I31" s="66" t="s">
        <v>27</v>
      </c>
      <c r="J31" s="67" t="s">
        <v>28</v>
      </c>
      <c r="K31" s="68" t="s">
        <v>29</v>
      </c>
      <c r="L31" s="66" t="s">
        <v>30</v>
      </c>
      <c r="M31" s="66" t="s">
        <v>31</v>
      </c>
    </row>
    <row r="32" spans="2:13" ht="18.75" customHeight="1" x14ac:dyDescent="0.35">
      <c r="B32" s="28" t="s">
        <v>32</v>
      </c>
      <c r="C32" s="29">
        <v>30</v>
      </c>
      <c r="D32" s="30"/>
      <c r="F32" s="31"/>
      <c r="G32" s="32">
        <v>1</v>
      </c>
      <c r="I32" s="34"/>
      <c r="J32" s="23"/>
      <c r="K32" s="69"/>
      <c r="L32" s="23"/>
      <c r="M32" s="65"/>
    </row>
    <row r="33" spans="2:15" ht="18.75" customHeight="1" x14ac:dyDescent="0.35">
      <c r="B33" s="28" t="s">
        <v>33</v>
      </c>
      <c r="C33" s="29"/>
      <c r="D33" s="33">
        <v>35</v>
      </c>
      <c r="F33" s="31">
        <v>1</v>
      </c>
      <c r="G33" s="32"/>
      <c r="I33" s="34"/>
      <c r="J33" s="23"/>
      <c r="K33" s="69"/>
      <c r="L33" s="23"/>
      <c r="M33" s="65"/>
    </row>
    <row r="34" spans="2:15" ht="18.75" customHeight="1" x14ac:dyDescent="0.35">
      <c r="B34" s="28" t="s">
        <v>34</v>
      </c>
      <c r="C34" s="29"/>
      <c r="D34" s="30">
        <v>30</v>
      </c>
      <c r="F34" s="31"/>
      <c r="G34" s="32"/>
      <c r="I34" s="34"/>
      <c r="J34" s="23"/>
      <c r="K34" s="69"/>
      <c r="L34" s="23"/>
      <c r="M34" s="65"/>
    </row>
    <row r="35" spans="2:15" ht="18.75" customHeight="1" x14ac:dyDescent="0.35">
      <c r="B35" s="28" t="s">
        <v>44</v>
      </c>
      <c r="C35" s="29"/>
      <c r="D35" s="30">
        <v>45</v>
      </c>
      <c r="F35" s="31">
        <v>1</v>
      </c>
      <c r="G35" s="32">
        <v>1</v>
      </c>
      <c r="I35" s="70">
        <v>0.63</v>
      </c>
      <c r="J35" s="71">
        <f>3600/I35/150000</f>
        <v>3.8095238095238099E-2</v>
      </c>
      <c r="K35" s="72">
        <v>464</v>
      </c>
      <c r="L35" s="73">
        <v>5</v>
      </c>
      <c r="M35" s="74">
        <v>0.64400000000000002</v>
      </c>
    </row>
    <row r="36" spans="2:15" ht="18.75" customHeight="1" x14ac:dyDescent="0.35">
      <c r="B36" s="28" t="s">
        <v>45</v>
      </c>
      <c r="C36" s="29"/>
      <c r="D36" s="30">
        <v>44</v>
      </c>
      <c r="F36" s="31">
        <v>1</v>
      </c>
      <c r="G36" s="32">
        <v>1</v>
      </c>
      <c r="I36" s="70">
        <v>0.60099999999999998</v>
      </c>
      <c r="J36" s="71">
        <f>3600/I36/83000</f>
        <v>7.2168875167892901E-2</v>
      </c>
      <c r="K36" s="72">
        <v>296</v>
      </c>
      <c r="L36" s="73">
        <v>5</v>
      </c>
      <c r="M36" s="74">
        <v>0.35599999999999998</v>
      </c>
    </row>
    <row r="37" spans="2:15" ht="18.75" customHeight="1" x14ac:dyDescent="0.35">
      <c r="B37" s="28" t="s">
        <v>37</v>
      </c>
      <c r="C37" s="29"/>
      <c r="D37" s="30">
        <f>($D$4+0.15)/0.95*60</f>
        <v>41.052631578947398</v>
      </c>
      <c r="F37" s="31">
        <v>1</v>
      </c>
      <c r="G37" s="32"/>
      <c r="I37" s="75"/>
      <c r="J37" s="76"/>
      <c r="K37" s="4"/>
      <c r="L37" s="77"/>
      <c r="M37" s="65"/>
    </row>
    <row r="38" spans="2:15" ht="18.75" customHeight="1" x14ac:dyDescent="0.35">
      <c r="B38" s="28" t="s">
        <v>38</v>
      </c>
      <c r="C38" s="29"/>
      <c r="D38" s="30">
        <v>35</v>
      </c>
      <c r="F38" s="31">
        <v>1</v>
      </c>
      <c r="G38" s="32"/>
      <c r="I38" s="73" t="s">
        <v>39</v>
      </c>
      <c r="J38" s="78">
        <f>SUM(D35:D36)/(MAX(D35:D36)*COUNT(D35:D36))</f>
        <v>0.98888888888888904</v>
      </c>
      <c r="K38" s="4"/>
      <c r="L38" s="23"/>
      <c r="M38" s="65"/>
    </row>
    <row r="39" spans="2:15" ht="18.75" customHeight="1" x14ac:dyDescent="0.35">
      <c r="B39" s="28" t="s">
        <v>46</v>
      </c>
      <c r="C39" s="29">
        <v>30</v>
      </c>
      <c r="D39" s="30"/>
      <c r="E39" s="34"/>
      <c r="F39" s="35"/>
      <c r="G39" s="36">
        <v>1</v>
      </c>
      <c r="H39" s="18"/>
      <c r="I39" s="23"/>
      <c r="J39" s="23"/>
      <c r="K39" s="65"/>
    </row>
    <row r="40" spans="2:15" ht="18.75" customHeight="1" x14ac:dyDescent="0.35">
      <c r="B40" s="28" t="s">
        <v>40</v>
      </c>
      <c r="C40" s="29">
        <v>30</v>
      </c>
      <c r="D40" s="30"/>
      <c r="E40" s="34"/>
      <c r="F40" s="35"/>
      <c r="G40" s="36">
        <v>1</v>
      </c>
      <c r="H40" s="18"/>
      <c r="I40" s="23"/>
      <c r="J40" s="23"/>
      <c r="K40" s="65"/>
    </row>
    <row r="41" spans="2:15" ht="18.75" customHeight="1" x14ac:dyDescent="0.35">
      <c r="B41" s="37" t="s">
        <v>41</v>
      </c>
      <c r="C41" s="120">
        <f>MAX(D32:D40)</f>
        <v>45</v>
      </c>
      <c r="D41" s="120"/>
      <c r="E41" s="38"/>
      <c r="F41" s="31">
        <f>SUM(F32:F40)</f>
        <v>5</v>
      </c>
      <c r="G41" s="39">
        <f>SUM(G32:G40)</f>
        <v>5</v>
      </c>
      <c r="H41" s="40"/>
      <c r="I41" s="23"/>
      <c r="J41" s="23"/>
      <c r="K41" s="65"/>
    </row>
    <row r="42" spans="2:15" ht="18.75" customHeight="1" x14ac:dyDescent="0.35">
      <c r="B42" s="41" t="s">
        <v>5</v>
      </c>
      <c r="C42" s="111">
        <f>C41*G41/$C$4</f>
        <v>112.5</v>
      </c>
      <c r="D42" s="111"/>
      <c r="E42" s="42"/>
      <c r="G42" s="3"/>
      <c r="H42" s="43"/>
      <c r="J42" s="23"/>
      <c r="K42" s="65"/>
    </row>
    <row r="43" spans="2:15" ht="18.75" customHeight="1" x14ac:dyDescent="0.35">
      <c r="B43" s="41" t="s">
        <v>42</v>
      </c>
      <c r="C43" s="111">
        <f>C41*F41/$C$4</f>
        <v>112.5</v>
      </c>
      <c r="D43" s="111"/>
      <c r="E43" s="42"/>
      <c r="G43" s="3"/>
      <c r="H43" s="43"/>
      <c r="J43" s="23"/>
      <c r="K43" s="65"/>
    </row>
    <row r="44" spans="2:15" ht="18.75" customHeight="1" x14ac:dyDescent="0.35">
      <c r="B44" s="45"/>
      <c r="C44" s="45"/>
      <c r="D44" s="45"/>
      <c r="E44" s="45"/>
      <c r="F44" s="45"/>
      <c r="G44" s="45"/>
      <c r="H44" s="45"/>
      <c r="I44" s="45"/>
      <c r="J44" s="23"/>
      <c r="K44" s="65"/>
    </row>
    <row r="45" spans="2:15" ht="18.75" customHeight="1" x14ac:dyDescent="0.35">
      <c r="B45" s="22" t="s">
        <v>47</v>
      </c>
      <c r="C45" s="19"/>
      <c r="D45" s="19"/>
      <c r="E45" s="19"/>
      <c r="F45" s="23"/>
      <c r="G45" s="24"/>
      <c r="H45" s="24"/>
      <c r="I45" s="23"/>
      <c r="J45" s="23"/>
      <c r="K45" s="65"/>
    </row>
    <row r="46" spans="2:15" ht="31" x14ac:dyDescent="0.3">
      <c r="B46" s="7" t="s">
        <v>22</v>
      </c>
      <c r="C46" s="25" t="s">
        <v>48</v>
      </c>
      <c r="D46" s="25" t="s">
        <v>49</v>
      </c>
      <c r="F46" s="26" t="s">
        <v>25</v>
      </c>
      <c r="G46" s="27" t="s">
        <v>26</v>
      </c>
      <c r="I46" s="79"/>
      <c r="J46" s="79"/>
      <c r="K46" s="80"/>
      <c r="L46" s="79"/>
      <c r="M46" s="79"/>
    </row>
    <row r="47" spans="2:15" ht="18.75" customHeight="1" x14ac:dyDescent="0.35">
      <c r="B47" s="28" t="s">
        <v>47</v>
      </c>
      <c r="C47" s="29">
        <v>60</v>
      </c>
      <c r="D47" s="30">
        <f>C47*F47/G47</f>
        <v>0</v>
      </c>
      <c r="F47" s="31"/>
      <c r="G47" s="32">
        <v>1</v>
      </c>
      <c r="I47" s="34"/>
      <c r="J47" s="23"/>
      <c r="K47" s="69"/>
      <c r="L47" s="23"/>
      <c r="M47" s="65"/>
      <c r="O47" s="81"/>
    </row>
    <row r="48" spans="2:15" ht="18.75" customHeight="1" x14ac:dyDescent="0.35">
      <c r="B48" s="41" t="s">
        <v>7</v>
      </c>
      <c r="C48" s="111">
        <f>SUM(C47:C47)/$C$4</f>
        <v>30</v>
      </c>
      <c r="D48" s="111"/>
      <c r="E48" s="42"/>
      <c r="G48" s="43"/>
      <c r="H48" s="43"/>
      <c r="J48" s="23"/>
      <c r="K48" s="65"/>
    </row>
    <row r="49" spans="2:14" ht="18.75" customHeight="1" x14ac:dyDescent="0.35">
      <c r="B49" s="44" t="s">
        <v>42</v>
      </c>
      <c r="C49" s="111">
        <f>SUM(D47:D47)/$C$4</f>
        <v>0</v>
      </c>
      <c r="D49" s="111"/>
      <c r="E49" s="42"/>
      <c r="G49" s="43"/>
      <c r="H49" s="43"/>
      <c r="J49" s="23"/>
      <c r="K49" s="65"/>
    </row>
    <row r="50" spans="2:14" ht="18.75" customHeight="1" x14ac:dyDescent="0.35">
      <c r="B50" s="45"/>
      <c r="C50" s="45"/>
      <c r="D50" s="45"/>
      <c r="E50" s="45"/>
      <c r="F50" s="45"/>
      <c r="G50" s="45"/>
      <c r="H50" s="45"/>
      <c r="I50" s="45"/>
      <c r="J50" s="23"/>
      <c r="K50" s="65"/>
    </row>
    <row r="51" spans="2:14" s="2" customFormat="1" ht="18.75" customHeight="1" x14ac:dyDescent="0.45">
      <c r="B51" s="46" t="s">
        <v>50</v>
      </c>
      <c r="C51" s="47"/>
      <c r="D51" s="48"/>
      <c r="E51" s="48"/>
      <c r="F51" s="48"/>
      <c r="G51" s="49"/>
      <c r="H51" s="49"/>
      <c r="I51" s="82"/>
      <c r="J51" s="48"/>
      <c r="K51" s="48"/>
      <c r="L51" s="48"/>
    </row>
    <row r="52" spans="2:14" s="2" customFormat="1" ht="37" x14ac:dyDescent="0.3">
      <c r="B52" s="7" t="s">
        <v>22</v>
      </c>
      <c r="C52" s="25" t="s">
        <v>51</v>
      </c>
      <c r="D52" s="25" t="s">
        <v>52</v>
      </c>
      <c r="F52" s="50" t="s">
        <v>25</v>
      </c>
      <c r="G52" s="51" t="s">
        <v>26</v>
      </c>
      <c r="H52" s="52"/>
      <c r="I52" s="83"/>
      <c r="J52" s="84" t="s">
        <v>53</v>
      </c>
      <c r="K52" s="85" t="s">
        <v>54</v>
      </c>
      <c r="L52" s="84" t="s">
        <v>55</v>
      </c>
      <c r="M52" s="84" t="s">
        <v>56</v>
      </c>
      <c r="N52" s="84" t="s">
        <v>57</v>
      </c>
    </row>
    <row r="53" spans="2:14" s="2" customFormat="1" ht="18.75" customHeight="1" x14ac:dyDescent="0.45">
      <c r="B53" s="28" t="s">
        <v>58</v>
      </c>
      <c r="C53" s="29">
        <v>40</v>
      </c>
      <c r="D53" s="29">
        <f>C53/L53</f>
        <v>40</v>
      </c>
      <c r="F53" s="53"/>
      <c r="G53" s="54">
        <f>L53</f>
        <v>1</v>
      </c>
      <c r="H53" s="52"/>
      <c r="I53" s="86" t="s">
        <v>59</v>
      </c>
      <c r="J53" s="87">
        <v>1</v>
      </c>
      <c r="K53" s="88"/>
      <c r="L53" s="89">
        <v>1</v>
      </c>
      <c r="M53" s="90">
        <f>C53/L53</f>
        <v>40</v>
      </c>
      <c r="N53" s="91"/>
    </row>
    <row r="54" spans="2:14" s="2" customFormat="1" ht="18.75" customHeight="1" x14ac:dyDescent="0.45">
      <c r="B54" s="28" t="s">
        <v>60</v>
      </c>
      <c r="C54" s="29">
        <f>K54*8</f>
        <v>0</v>
      </c>
      <c r="D54" s="29" t="e">
        <f>C54/L54</f>
        <v>#DIV/0!</v>
      </c>
      <c r="F54" s="53"/>
      <c r="G54" s="54">
        <f>L54</f>
        <v>0</v>
      </c>
      <c r="H54" s="52"/>
      <c r="I54" s="86" t="s">
        <v>59</v>
      </c>
      <c r="J54" s="87">
        <f>ROUNDUP(C54/$C$56,0)</f>
        <v>0</v>
      </c>
      <c r="K54" s="88"/>
      <c r="L54" s="89">
        <f>IF(J54&gt;10,10,J54)</f>
        <v>0</v>
      </c>
      <c r="M54" s="90" t="e">
        <f>C54/L54</f>
        <v>#DIV/0!</v>
      </c>
      <c r="N54" s="91">
        <v>1</v>
      </c>
    </row>
    <row r="55" spans="2:14" s="2" customFormat="1" ht="18.75" customHeight="1" x14ac:dyDescent="0.45">
      <c r="B55" s="55" t="s">
        <v>61</v>
      </c>
      <c r="C55" s="29">
        <v>40</v>
      </c>
      <c r="D55" s="29">
        <f>C55/L55</f>
        <v>40</v>
      </c>
      <c r="F55" s="53"/>
      <c r="G55" s="54">
        <f>L55</f>
        <v>1</v>
      </c>
      <c r="H55" s="52"/>
      <c r="I55" s="86" t="s">
        <v>59</v>
      </c>
      <c r="J55" s="87">
        <v>1</v>
      </c>
      <c r="K55" s="88"/>
      <c r="L55" s="89">
        <v>1</v>
      </c>
      <c r="M55" s="90">
        <f>C55/L55</f>
        <v>40</v>
      </c>
      <c r="N55" s="91"/>
    </row>
    <row r="56" spans="2:14" s="2" customFormat="1" ht="18.75" customHeight="1" x14ac:dyDescent="0.45">
      <c r="B56" s="28" t="s">
        <v>62</v>
      </c>
      <c r="C56" s="29">
        <f>IF($D$4&gt;0.3,($D$4+0.3)/0.8*60,(0.3+0.4)/0.8*60)</f>
        <v>60</v>
      </c>
      <c r="D56" s="29">
        <f>C56</f>
        <v>60</v>
      </c>
      <c r="F56" s="53">
        <v>1</v>
      </c>
      <c r="G56" s="54">
        <f t="shared" ref="G56:G57" si="0">L56</f>
        <v>0</v>
      </c>
      <c r="H56" s="52"/>
      <c r="I56" s="86"/>
      <c r="J56" s="87"/>
      <c r="K56" s="88"/>
      <c r="L56" s="89"/>
      <c r="M56" s="90">
        <f>D56</f>
        <v>60</v>
      </c>
      <c r="N56" s="91"/>
    </row>
    <row r="57" spans="2:14" s="2" customFormat="1" ht="18.75" customHeight="1" x14ac:dyDescent="0.45">
      <c r="B57" s="56" t="s">
        <v>63</v>
      </c>
      <c r="C57" s="29">
        <v>40</v>
      </c>
      <c r="D57" s="29">
        <f>C57/G57</f>
        <v>40</v>
      </c>
      <c r="F57" s="53"/>
      <c r="G57" s="54">
        <f t="shared" si="0"/>
        <v>1</v>
      </c>
      <c r="H57" s="52"/>
      <c r="I57" s="86" t="s">
        <v>59</v>
      </c>
      <c r="J57" s="87">
        <f>ROUNDUP(C57/$C$56,0)</f>
        <v>1</v>
      </c>
      <c r="K57" s="88"/>
      <c r="L57" s="89">
        <v>1</v>
      </c>
      <c r="M57" s="90">
        <f>C57/L57</f>
        <v>40</v>
      </c>
      <c r="N57" s="91"/>
    </row>
    <row r="58" spans="2:14" s="2" customFormat="1" ht="18.75" customHeight="1" x14ac:dyDescent="0.45">
      <c r="B58" s="28" t="s">
        <v>64</v>
      </c>
      <c r="C58" s="29">
        <v>40</v>
      </c>
      <c r="D58" s="29">
        <f t="shared" ref="D58:D60" si="1">C58/G58</f>
        <v>40</v>
      </c>
      <c r="F58" s="53"/>
      <c r="G58" s="54">
        <v>1</v>
      </c>
      <c r="H58" s="52"/>
      <c r="I58" s="86" t="s">
        <v>59</v>
      </c>
      <c r="J58" s="87">
        <f>ROUNDUP(C58/$C$56,0)</f>
        <v>1</v>
      </c>
      <c r="K58" s="88"/>
      <c r="L58" s="89">
        <v>1</v>
      </c>
      <c r="M58" s="90">
        <f t="shared" ref="M58:M60" si="2">C58/L58</f>
        <v>40</v>
      </c>
      <c r="N58" s="91"/>
    </row>
    <row r="59" spans="2:14" s="2" customFormat="1" ht="18.75" customHeight="1" x14ac:dyDescent="0.45">
      <c r="B59" s="28" t="s">
        <v>65</v>
      </c>
      <c r="C59" s="29">
        <v>40</v>
      </c>
      <c r="D59" s="29">
        <f t="shared" si="1"/>
        <v>40</v>
      </c>
      <c r="F59" s="53"/>
      <c r="G59" s="54">
        <v>1</v>
      </c>
      <c r="H59" s="52"/>
      <c r="I59" s="86" t="s">
        <v>59</v>
      </c>
      <c r="J59" s="87">
        <f>ROUNDUP(C59/$C$56,0)</f>
        <v>1</v>
      </c>
      <c r="K59" s="88"/>
      <c r="L59" s="89">
        <v>1</v>
      </c>
      <c r="M59" s="90">
        <f t="shared" si="2"/>
        <v>40</v>
      </c>
      <c r="N59" s="91"/>
    </row>
    <row r="60" spans="2:14" s="2" customFormat="1" ht="18.75" customHeight="1" x14ac:dyDescent="0.45">
      <c r="B60" s="28" t="s">
        <v>67</v>
      </c>
      <c r="C60" s="29">
        <v>40</v>
      </c>
      <c r="D60" s="29">
        <f t="shared" si="1"/>
        <v>40</v>
      </c>
      <c r="F60" s="53"/>
      <c r="G60" s="54">
        <v>1</v>
      </c>
      <c r="H60" s="52"/>
      <c r="I60" s="86" t="s">
        <v>59</v>
      </c>
      <c r="J60" s="87">
        <f>ROUNDUP(C60/$C$56,0)</f>
        <v>1</v>
      </c>
      <c r="K60" s="88"/>
      <c r="L60" s="89">
        <v>4</v>
      </c>
      <c r="M60" s="90">
        <f t="shared" si="2"/>
        <v>10</v>
      </c>
      <c r="N60" s="91"/>
    </row>
    <row r="61" spans="2:14" s="2" customFormat="1" ht="18.75" customHeight="1" x14ac:dyDescent="0.45">
      <c r="B61" s="41" t="s">
        <v>6</v>
      </c>
      <c r="C61" s="125">
        <f>IF($K$54&gt;0,MAX(D53:D60)*G61/C4,0)</f>
        <v>0</v>
      </c>
      <c r="D61" s="126"/>
      <c r="E61" s="57"/>
      <c r="F61" s="2">
        <f>SUM(F53:F60)</f>
        <v>1</v>
      </c>
      <c r="G61" s="2">
        <f>SUM(G53:G60)</f>
        <v>6</v>
      </c>
      <c r="H61" s="52"/>
      <c r="I61" s="86" t="s">
        <v>68</v>
      </c>
      <c r="J61" s="87">
        <f>SUM(J53:J60)</f>
        <v>6</v>
      </c>
      <c r="K61" s="88"/>
      <c r="L61" s="92">
        <f>SUM(L53:L60)</f>
        <v>9</v>
      </c>
      <c r="M61" s="93" t="e">
        <f>MAX(M53:M60)*L61</f>
        <v>#DIV/0!</v>
      </c>
      <c r="N61" s="89"/>
    </row>
    <row r="62" spans="2:14" s="2" customFormat="1" ht="18.75" customHeight="1" x14ac:dyDescent="0.45">
      <c r="B62" s="58" t="s">
        <v>42</v>
      </c>
      <c r="C62" s="125">
        <f>IF($K$54&gt;0,MAX(D53:D60)*F61/C4,0)</f>
        <v>0</v>
      </c>
      <c r="D62" s="126"/>
      <c r="E62" s="59"/>
      <c r="F62" s="60"/>
      <c r="G62" s="61"/>
      <c r="H62" s="61"/>
      <c r="I62" s="94"/>
      <c r="J62" s="60"/>
      <c r="K62" s="60"/>
      <c r="L62" s="60"/>
    </row>
    <row r="64" spans="2:14" ht="18.75" customHeight="1" x14ac:dyDescent="0.35">
      <c r="B64" s="22" t="s">
        <v>69</v>
      </c>
      <c r="C64" s="19"/>
      <c r="D64" s="19"/>
      <c r="E64" s="19"/>
      <c r="F64" s="23"/>
      <c r="G64" s="24"/>
      <c r="H64" s="24"/>
      <c r="I64" s="23"/>
      <c r="J64" s="23"/>
      <c r="K64" s="65"/>
    </row>
    <row r="65" spans="2:15" ht="31" x14ac:dyDescent="0.3">
      <c r="B65" s="7" t="s">
        <v>22</v>
      </c>
      <c r="C65" s="25" t="s">
        <v>48</v>
      </c>
      <c r="D65" s="25" t="s">
        <v>49</v>
      </c>
      <c r="F65" s="26" t="s">
        <v>25</v>
      </c>
      <c r="G65" s="27" t="s">
        <v>26</v>
      </c>
      <c r="I65" s="79"/>
      <c r="J65" s="79"/>
      <c r="K65" s="80"/>
      <c r="L65" s="79"/>
      <c r="M65" s="79"/>
    </row>
    <row r="66" spans="2:15" ht="18.75" customHeight="1" x14ac:dyDescent="0.35">
      <c r="B66" s="28" t="s">
        <v>69</v>
      </c>
      <c r="C66" s="29">
        <v>0</v>
      </c>
      <c r="D66" s="30">
        <f>C66*F66</f>
        <v>0</v>
      </c>
      <c r="F66" s="31">
        <v>1</v>
      </c>
      <c r="G66" s="32">
        <v>1</v>
      </c>
      <c r="I66" s="34"/>
      <c r="J66" s="23"/>
      <c r="K66" s="69"/>
      <c r="L66" s="23"/>
      <c r="M66" s="65"/>
      <c r="O66" s="81"/>
    </row>
    <row r="67" spans="2:15" ht="18.75" customHeight="1" x14ac:dyDescent="0.35">
      <c r="B67" s="41" t="s">
        <v>8</v>
      </c>
      <c r="C67" s="111">
        <f>SUM(C66:C66)*G66/$C$4</f>
        <v>0</v>
      </c>
      <c r="D67" s="111"/>
      <c r="E67" s="42"/>
      <c r="G67" s="43"/>
      <c r="H67" s="43"/>
      <c r="J67" s="23"/>
      <c r="K67" s="65"/>
    </row>
    <row r="68" spans="2:15" ht="18.75" customHeight="1" x14ac:dyDescent="0.35">
      <c r="B68" s="44" t="s">
        <v>42</v>
      </c>
      <c r="C68" s="111">
        <f>SUM(D66:D66)/$C$4</f>
        <v>0</v>
      </c>
      <c r="D68" s="111"/>
      <c r="E68" s="42"/>
      <c r="G68" s="43"/>
      <c r="H68" s="43"/>
      <c r="J68" s="23"/>
      <c r="K68" s="65"/>
    </row>
    <row r="69" spans="2:15" ht="18.75" customHeight="1" x14ac:dyDescent="0.35">
      <c r="B69" s="45"/>
      <c r="C69" s="45"/>
      <c r="D69" s="45"/>
      <c r="E69" s="45"/>
      <c r="F69" s="45"/>
      <c r="G69" s="45"/>
      <c r="H69" s="45"/>
      <c r="I69" s="45"/>
      <c r="J69" s="23"/>
      <c r="K69" s="65"/>
    </row>
    <row r="70" spans="2:15" ht="18.75" customHeight="1" x14ac:dyDescent="0.4">
      <c r="B70" s="62" t="s">
        <v>70</v>
      </c>
      <c r="C70" s="19"/>
      <c r="D70" s="19"/>
      <c r="E70" s="19"/>
      <c r="F70" s="23"/>
      <c r="G70" s="24"/>
      <c r="H70" s="24"/>
      <c r="I70" s="23"/>
      <c r="J70" s="23"/>
      <c r="K70" s="65"/>
    </row>
    <row r="71" spans="2:15" ht="31" x14ac:dyDescent="0.3">
      <c r="B71" s="7" t="s">
        <v>22</v>
      </c>
      <c r="C71" s="25" t="s">
        <v>48</v>
      </c>
      <c r="D71" s="25" t="s">
        <v>49</v>
      </c>
      <c r="F71" s="26" t="s">
        <v>25</v>
      </c>
      <c r="G71" s="27" t="s">
        <v>26</v>
      </c>
      <c r="I71" s="79"/>
      <c r="J71" s="79"/>
      <c r="K71" s="80"/>
      <c r="L71" s="79"/>
      <c r="M71" s="79"/>
    </row>
    <row r="72" spans="2:15" ht="18.75" customHeight="1" x14ac:dyDescent="0.35">
      <c r="B72" s="55" t="s">
        <v>70</v>
      </c>
      <c r="C72" s="29">
        <v>0</v>
      </c>
      <c r="D72" s="30">
        <f>C72*F72</f>
        <v>0</v>
      </c>
      <c r="F72" s="31"/>
      <c r="G72" s="32">
        <v>1</v>
      </c>
      <c r="I72" s="34"/>
      <c r="J72" s="23"/>
      <c r="K72" s="69"/>
      <c r="L72" s="23"/>
      <c r="M72" s="65"/>
      <c r="O72" s="81"/>
    </row>
    <row r="73" spans="2:15" ht="18.75" customHeight="1" x14ac:dyDescent="0.35">
      <c r="B73" s="41" t="s">
        <v>9</v>
      </c>
      <c r="C73" s="111">
        <f>SUM(C72:C72)*G72/$C$4</f>
        <v>0</v>
      </c>
      <c r="D73" s="111"/>
      <c r="E73" s="42"/>
      <c r="G73" s="43"/>
      <c r="H73" s="43"/>
      <c r="J73" s="23"/>
      <c r="K73" s="65"/>
    </row>
    <row r="74" spans="2:15" ht="18.75" customHeight="1" x14ac:dyDescent="0.35">
      <c r="B74" s="44" t="s">
        <v>42</v>
      </c>
      <c r="C74" s="111">
        <f>SUM(D72:D72)/$C$4</f>
        <v>0</v>
      </c>
      <c r="D74" s="111"/>
      <c r="E74" s="42"/>
      <c r="G74" s="43"/>
      <c r="H74" s="43"/>
      <c r="J74" s="23"/>
      <c r="K74" s="65"/>
    </row>
    <row r="75" spans="2:15" ht="18.75" customHeight="1" x14ac:dyDescent="0.35">
      <c r="B75" s="45"/>
      <c r="C75" s="45"/>
      <c r="D75" s="45"/>
      <c r="E75" s="45"/>
      <c r="F75" s="45"/>
      <c r="G75" s="45"/>
      <c r="H75" s="45"/>
      <c r="I75" s="45"/>
      <c r="J75" s="23"/>
      <c r="K75" s="65"/>
    </row>
    <row r="76" spans="2:15" x14ac:dyDescent="0.35">
      <c r="B76" s="95" t="s">
        <v>71</v>
      </c>
      <c r="C76" s="96"/>
      <c r="D76" s="96"/>
      <c r="E76" s="96"/>
      <c r="F76" s="97"/>
      <c r="G76" s="98"/>
      <c r="H76" s="99"/>
      <c r="I76" s="99"/>
      <c r="J76" s="99"/>
      <c r="K76" s="99"/>
      <c r="L76" s="99"/>
      <c r="M76" s="99"/>
      <c r="N76" s="99"/>
    </row>
    <row r="77" spans="2:15" ht="31" x14ac:dyDescent="0.35">
      <c r="B77" s="7" t="s">
        <v>22</v>
      </c>
      <c r="C77" s="25" t="s">
        <v>48</v>
      </c>
      <c r="D77" s="25" t="s">
        <v>49</v>
      </c>
      <c r="E77" s="100"/>
      <c r="F77" s="26" t="s">
        <v>25</v>
      </c>
      <c r="G77" s="27" t="s">
        <v>26</v>
      </c>
      <c r="H77" s="99"/>
      <c r="I77" s="99"/>
      <c r="J77" s="99"/>
      <c r="K77" s="99"/>
      <c r="L77" s="99"/>
      <c r="M77" s="99"/>
      <c r="N77" s="99"/>
    </row>
    <row r="78" spans="2:15" ht="20.25" customHeight="1" x14ac:dyDescent="0.35">
      <c r="B78" s="101" t="s">
        <v>2</v>
      </c>
      <c r="C78" s="102">
        <v>40</v>
      </c>
      <c r="D78" s="103">
        <f>C78*F78</f>
        <v>40</v>
      </c>
      <c r="E78" s="100"/>
      <c r="F78" s="104">
        <v>1</v>
      </c>
      <c r="G78" s="105">
        <v>1</v>
      </c>
      <c r="H78" s="99"/>
      <c r="I78" s="99"/>
      <c r="J78" s="99"/>
      <c r="K78" s="99"/>
      <c r="L78" s="99"/>
      <c r="M78" s="99"/>
      <c r="N78" s="99"/>
    </row>
    <row r="79" spans="2:15" ht="20.25" customHeight="1" x14ac:dyDescent="0.35">
      <c r="B79" s="106" t="s">
        <v>72</v>
      </c>
      <c r="C79" s="102">
        <f>11*6+30</f>
        <v>96</v>
      </c>
      <c r="D79" s="103"/>
      <c r="E79" s="100"/>
      <c r="F79" s="104"/>
      <c r="G79" s="105">
        <v>1</v>
      </c>
      <c r="H79" s="99"/>
      <c r="I79" s="99"/>
      <c r="J79" s="99"/>
      <c r="K79" s="99"/>
      <c r="L79" s="99"/>
      <c r="M79" s="99"/>
      <c r="N79" s="99"/>
    </row>
    <row r="80" spans="2:15" ht="20.25" customHeight="1" x14ac:dyDescent="0.35">
      <c r="B80" s="106" t="s">
        <v>11</v>
      </c>
      <c r="C80" s="102"/>
      <c r="D80" s="103"/>
      <c r="E80" s="100"/>
      <c r="F80" s="104"/>
      <c r="G80" s="105"/>
      <c r="H80" s="99"/>
      <c r="I80" s="99"/>
      <c r="J80" s="99"/>
      <c r="K80" s="99"/>
      <c r="L80" s="99"/>
      <c r="M80" s="99"/>
      <c r="N80" s="99"/>
    </row>
    <row r="81" spans="2:14" ht="20.25" customHeight="1" x14ac:dyDescent="0.35">
      <c r="B81" s="106" t="s">
        <v>73</v>
      </c>
      <c r="C81" s="102">
        <f>D81*G81/F81</f>
        <v>40</v>
      </c>
      <c r="D81" s="102">
        <f>60/3</f>
        <v>20</v>
      </c>
      <c r="E81" s="100"/>
      <c r="F81" s="104">
        <v>1</v>
      </c>
      <c r="G81" s="105">
        <v>2</v>
      </c>
      <c r="H81" s="99"/>
      <c r="I81" s="99"/>
      <c r="J81" s="99"/>
      <c r="K81" s="99"/>
      <c r="L81" s="99"/>
      <c r="M81" s="99"/>
      <c r="N81" s="99"/>
    </row>
    <row r="82" spans="2:14" ht="20.25" customHeight="1" x14ac:dyDescent="0.35">
      <c r="B82" s="106" t="s">
        <v>74</v>
      </c>
      <c r="C82" s="102">
        <f>D81*G82/F81</f>
        <v>40</v>
      </c>
      <c r="D82" s="103"/>
      <c r="E82" s="100"/>
      <c r="F82" s="104"/>
      <c r="G82" s="105">
        <v>2</v>
      </c>
      <c r="H82" s="99"/>
      <c r="I82" s="99"/>
      <c r="J82" s="99"/>
      <c r="K82" s="99"/>
      <c r="L82" s="99"/>
      <c r="M82" s="99"/>
      <c r="N82" s="99"/>
    </row>
    <row r="83" spans="2:14" ht="20.25" customHeight="1" x14ac:dyDescent="0.35">
      <c r="B83" s="106" t="s">
        <v>75</v>
      </c>
      <c r="C83" s="102">
        <f>D81*G83/F81</f>
        <v>40</v>
      </c>
      <c r="D83" s="103"/>
      <c r="E83" s="100"/>
      <c r="F83" s="104"/>
      <c r="G83" s="105">
        <v>2</v>
      </c>
      <c r="H83" s="99"/>
      <c r="I83" s="99"/>
      <c r="J83" s="99"/>
      <c r="K83" s="99"/>
      <c r="L83" s="99"/>
      <c r="M83" s="99"/>
      <c r="N83" s="99"/>
    </row>
    <row r="84" spans="2:14" ht="20.25" customHeight="1" x14ac:dyDescent="0.35">
      <c r="B84" s="41" t="s">
        <v>10</v>
      </c>
      <c r="C84" s="112">
        <f>SUM(C78:C83)</f>
        <v>256</v>
      </c>
      <c r="D84" s="113"/>
      <c r="E84" s="107"/>
      <c r="F84" s="100"/>
      <c r="G84" s="108"/>
      <c r="H84" s="99"/>
      <c r="I84" s="99"/>
      <c r="J84" s="99"/>
      <c r="K84" s="99"/>
      <c r="L84" s="99"/>
      <c r="M84" s="99"/>
      <c r="N84" s="99"/>
    </row>
    <row r="85" spans="2:14" ht="20.25" customHeight="1" x14ac:dyDescent="0.35">
      <c r="B85" s="109" t="s">
        <v>42</v>
      </c>
      <c r="C85" s="112">
        <f>SUM(D78:D83)</f>
        <v>60</v>
      </c>
      <c r="D85" s="113"/>
      <c r="E85" s="107"/>
      <c r="F85" s="100"/>
      <c r="G85" s="108"/>
      <c r="H85" s="99"/>
      <c r="I85" s="99"/>
      <c r="J85" s="99"/>
      <c r="K85" s="99"/>
      <c r="L85" s="99"/>
      <c r="M85" s="99"/>
      <c r="N85" s="99"/>
    </row>
  </sheetData>
  <mergeCells count="24">
    <mergeCell ref="B1:F1"/>
    <mergeCell ref="C2:F2"/>
    <mergeCell ref="C13:D13"/>
    <mergeCell ref="C14:D14"/>
    <mergeCell ref="C26:D26"/>
    <mergeCell ref="B3:B4"/>
    <mergeCell ref="C4:C5"/>
    <mergeCell ref="D4:D5"/>
    <mergeCell ref="B8:G9"/>
    <mergeCell ref="C27:D27"/>
    <mergeCell ref="C28:D28"/>
    <mergeCell ref="C41:D41"/>
    <mergeCell ref="C42:D42"/>
    <mergeCell ref="C43:D43"/>
    <mergeCell ref="C48:D48"/>
    <mergeCell ref="C49:D49"/>
    <mergeCell ref="C61:D61"/>
    <mergeCell ref="C62:D62"/>
    <mergeCell ref="C67:D67"/>
    <mergeCell ref="C68:D68"/>
    <mergeCell ref="C73:D73"/>
    <mergeCell ref="C74:D74"/>
    <mergeCell ref="C84:D84"/>
    <mergeCell ref="C85:D85"/>
  </mergeCells>
  <phoneticPr fontId="31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rgb="FFFFFF00"/>
  </sheetPr>
  <dimension ref="B1:O86"/>
  <sheetViews>
    <sheetView showGridLines="0" zoomScale="70" zoomScaleNormal="70" workbookViewId="0">
      <selection activeCell="V11" sqref="V11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hidden="1" customWidth="1" outlineLevel="1"/>
    <col min="10" max="11" width="10.5" style="3" hidden="1" customWidth="1" outlineLevel="1"/>
    <col min="12" max="12" width="15.33203125" style="3" hidden="1" customWidth="1" outlineLevel="1"/>
    <col min="13" max="13" width="12.58203125" style="3" hidden="1" customWidth="1" outlineLevel="1"/>
    <col min="14" max="14" width="15.58203125" style="3" customWidth="1" collapsed="1"/>
    <col min="15" max="16384" width="8.25" style="3"/>
  </cols>
  <sheetData>
    <row r="1" spans="2:15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5" ht="16.5" x14ac:dyDescent="0.4">
      <c r="B2" s="7" t="s">
        <v>13</v>
      </c>
      <c r="C2" s="123" t="s">
        <v>89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5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5" ht="18.75" customHeight="1" x14ac:dyDescent="0.35">
      <c r="B4" s="115"/>
      <c r="C4" s="116">
        <v>2</v>
      </c>
      <c r="D4" s="118">
        <v>0.35</v>
      </c>
      <c r="E4" s="12">
        <f>K21</f>
        <v>472</v>
      </c>
      <c r="F4" s="12">
        <f>K22</f>
        <v>86</v>
      </c>
      <c r="L4" s="6"/>
      <c r="M4" s="8"/>
    </row>
    <row r="5" spans="2:15" ht="18.75" customHeight="1" x14ac:dyDescent="0.35">
      <c r="B5" s="11"/>
      <c r="C5" s="117"/>
      <c r="D5" s="118"/>
      <c r="E5" s="12">
        <f>K35</f>
        <v>512</v>
      </c>
      <c r="F5" s="12">
        <f>K36</f>
        <v>268</v>
      </c>
      <c r="H5" s="10"/>
      <c r="I5" s="10"/>
      <c r="J5" s="10"/>
      <c r="L5" s="6"/>
      <c r="M5" s="8"/>
    </row>
    <row r="6" spans="2:15" ht="18.75" customHeight="1" x14ac:dyDescent="0.35">
      <c r="B6" s="13" t="s">
        <v>0</v>
      </c>
      <c r="C6" s="14">
        <f>C27+C42+C62+C85+C48+C68+C74</f>
        <v>454.20967741935499</v>
      </c>
      <c r="D6" s="15">
        <f>(C6-F6)/0.8</f>
        <v>517.76209677419399</v>
      </c>
      <c r="E6" s="16" t="s">
        <v>20</v>
      </c>
      <c r="F6" s="17">
        <f>VLOOKUP(E6,$B$68:$C$82,2,0)</f>
        <v>40</v>
      </c>
      <c r="G6" s="18"/>
      <c r="H6" s="10"/>
      <c r="I6" s="19"/>
      <c r="J6" s="23"/>
      <c r="K6" s="65"/>
      <c r="N6" s="4"/>
    </row>
    <row r="7" spans="2:15" ht="18.75" customHeight="1" x14ac:dyDescent="0.35">
      <c r="B7" s="13" t="s">
        <v>1</v>
      </c>
      <c r="C7" s="14">
        <f>C28+C43+C63+C86+C49+C69+C75</f>
        <v>218.20967741935499</v>
      </c>
      <c r="D7" s="19"/>
      <c r="E7" s="20"/>
      <c r="F7" s="19"/>
      <c r="G7" s="18"/>
      <c r="H7" s="18"/>
      <c r="I7" s="19"/>
      <c r="J7" s="23"/>
      <c r="K7" s="65"/>
      <c r="N7" s="4"/>
    </row>
    <row r="8" spans="2:15" x14ac:dyDescent="0.35">
      <c r="B8" s="119" t="s">
        <v>82</v>
      </c>
      <c r="C8" s="119"/>
      <c r="D8" s="119"/>
      <c r="E8" s="119"/>
      <c r="F8" s="119"/>
      <c r="G8" s="119"/>
      <c r="H8" s="21"/>
      <c r="I8" s="21"/>
      <c r="J8" s="23"/>
      <c r="K8" s="65"/>
    </row>
    <row r="9" spans="2:15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5" ht="18.75" customHeight="1" x14ac:dyDescent="0.4">
      <c r="B10" s="62" t="s">
        <v>87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5" ht="31" x14ac:dyDescent="0.3">
      <c r="B11" s="7" t="s">
        <v>22</v>
      </c>
      <c r="C11" s="25" t="s">
        <v>48</v>
      </c>
      <c r="D11" s="25" t="s">
        <v>49</v>
      </c>
      <c r="F11" s="26" t="s">
        <v>25</v>
      </c>
      <c r="G11" s="27" t="s">
        <v>26</v>
      </c>
      <c r="I11" s="79"/>
      <c r="J11" s="79"/>
      <c r="K11" s="80"/>
      <c r="L11" s="79"/>
      <c r="M11" s="79"/>
    </row>
    <row r="12" spans="2:15" ht="18.75" customHeight="1" x14ac:dyDescent="0.35">
      <c r="B12" s="55" t="s">
        <v>87</v>
      </c>
      <c r="C12" s="29">
        <v>0</v>
      </c>
      <c r="D12" s="30"/>
      <c r="F12" s="31"/>
      <c r="G12" s="32">
        <v>1</v>
      </c>
      <c r="I12" s="34"/>
      <c r="J12" s="23"/>
      <c r="K12" s="69"/>
      <c r="L12" s="23"/>
      <c r="M12" s="65"/>
      <c r="O12" s="81"/>
    </row>
    <row r="13" spans="2:15" ht="18.75" customHeight="1" x14ac:dyDescent="0.35">
      <c r="B13" s="110" t="s">
        <v>3</v>
      </c>
      <c r="C13" s="111">
        <f>SUM(C12:C12)/$C$4</f>
        <v>0</v>
      </c>
      <c r="D13" s="111"/>
      <c r="E13" s="42"/>
      <c r="G13" s="43"/>
      <c r="H13" s="43"/>
      <c r="J13" s="23"/>
      <c r="K13" s="65"/>
    </row>
    <row r="14" spans="2:15" ht="18.75" customHeight="1" x14ac:dyDescent="0.35">
      <c r="B14" s="44" t="s">
        <v>42</v>
      </c>
      <c r="C14" s="111">
        <f>SUM(D12:D12)/$C$4</f>
        <v>0</v>
      </c>
      <c r="D14" s="111"/>
      <c r="E14" s="42"/>
      <c r="G14" s="43"/>
      <c r="H14" s="43"/>
      <c r="J14" s="23"/>
      <c r="K14" s="65"/>
    </row>
    <row r="15" spans="2:15" ht="18.75" customHeight="1" x14ac:dyDescent="0.35">
      <c r="B15" s="45"/>
      <c r="C15" s="45"/>
      <c r="D15" s="45"/>
      <c r="E15" s="45"/>
      <c r="F15" s="45"/>
      <c r="G15" s="45"/>
      <c r="H15" s="45"/>
      <c r="I15" s="45"/>
      <c r="J15" s="23"/>
      <c r="K15" s="65"/>
    </row>
    <row r="16" spans="2:15" ht="18.75" customHeight="1" x14ac:dyDescent="0.35">
      <c r="B16" s="22" t="s">
        <v>21</v>
      </c>
      <c r="C16" s="19"/>
      <c r="D16" s="19"/>
      <c r="E16" s="19"/>
      <c r="F16" s="23"/>
      <c r="G16" s="24"/>
      <c r="H16" s="24"/>
      <c r="I16" s="23"/>
      <c r="J16" s="23"/>
      <c r="K16" s="65"/>
    </row>
    <row r="17" spans="2:13" ht="31" x14ac:dyDescent="0.3">
      <c r="B17" s="7" t="s">
        <v>22</v>
      </c>
      <c r="C17" s="25" t="s">
        <v>23</v>
      </c>
      <c r="D17" s="25" t="s">
        <v>24</v>
      </c>
      <c r="F17" s="26" t="s">
        <v>25</v>
      </c>
      <c r="G17" s="27" t="s">
        <v>26</v>
      </c>
      <c r="I17" s="66" t="s">
        <v>27</v>
      </c>
      <c r="J17" s="67" t="s">
        <v>28</v>
      </c>
      <c r="K17" s="68" t="s">
        <v>29</v>
      </c>
      <c r="L17" s="66" t="s">
        <v>30</v>
      </c>
      <c r="M17" s="66" t="s">
        <v>31</v>
      </c>
    </row>
    <row r="18" spans="2:13" ht="18.75" customHeight="1" x14ac:dyDescent="0.35">
      <c r="B18" s="28" t="s">
        <v>32</v>
      </c>
      <c r="C18" s="29">
        <v>60</v>
      </c>
      <c r="D18" s="30"/>
      <c r="F18" s="31"/>
      <c r="G18" s="32">
        <v>2</v>
      </c>
      <c r="I18" s="34"/>
      <c r="J18" s="23"/>
      <c r="K18" s="69"/>
      <c r="L18" s="23"/>
      <c r="M18" s="65"/>
    </row>
    <row r="19" spans="2:13" ht="18.75" customHeight="1" x14ac:dyDescent="0.35">
      <c r="B19" s="28" t="s">
        <v>33</v>
      </c>
      <c r="C19" s="29"/>
      <c r="D19" s="33">
        <v>35</v>
      </c>
      <c r="F19" s="31">
        <v>1</v>
      </c>
      <c r="G19" s="32"/>
      <c r="I19" s="34"/>
      <c r="J19" s="23"/>
      <c r="K19" s="69"/>
      <c r="L19" s="23"/>
      <c r="M19" s="65"/>
    </row>
    <row r="20" spans="2:13" ht="18.75" customHeight="1" x14ac:dyDescent="0.35">
      <c r="B20" s="28" t="s">
        <v>34</v>
      </c>
      <c r="C20" s="29"/>
      <c r="D20" s="30">
        <v>30</v>
      </c>
      <c r="F20" s="31"/>
      <c r="G20" s="32"/>
      <c r="I20" s="34"/>
      <c r="J20" s="23"/>
      <c r="K20" s="69"/>
      <c r="L20" s="23"/>
      <c r="M20" s="65"/>
    </row>
    <row r="21" spans="2:13" ht="18.75" customHeight="1" x14ac:dyDescent="0.35">
      <c r="B21" s="28" t="s">
        <v>35</v>
      </c>
      <c r="C21" s="29"/>
      <c r="D21" s="30">
        <v>36</v>
      </c>
      <c r="F21" s="31">
        <v>1</v>
      </c>
      <c r="G21" s="32">
        <v>1</v>
      </c>
      <c r="I21" s="70">
        <v>0.63</v>
      </c>
      <c r="J21" s="71">
        <f>3600/I21/150000</f>
        <v>3.8095238095238099E-2</v>
      </c>
      <c r="K21" s="72">
        <v>472</v>
      </c>
      <c r="L21" s="73">
        <v>5</v>
      </c>
      <c r="M21" s="74">
        <v>0.64400000000000002</v>
      </c>
    </row>
    <row r="22" spans="2:13" ht="18.75" customHeight="1" x14ac:dyDescent="0.35">
      <c r="B22" s="28" t="s">
        <v>36</v>
      </c>
      <c r="C22" s="29"/>
      <c r="D22" s="30">
        <v>35</v>
      </c>
      <c r="F22" s="31"/>
      <c r="G22" s="32">
        <v>1</v>
      </c>
      <c r="I22" s="70">
        <v>0.60099999999999998</v>
      </c>
      <c r="J22" s="71">
        <f>3600/I22/83000</f>
        <v>7.2168875167892901E-2</v>
      </c>
      <c r="K22" s="72">
        <v>86</v>
      </c>
      <c r="L22" s="73">
        <v>5</v>
      </c>
      <c r="M22" s="74">
        <v>0.35599999999999998</v>
      </c>
    </row>
    <row r="23" spans="2:13" ht="18.75" customHeight="1" x14ac:dyDescent="0.35">
      <c r="B23" s="28" t="s">
        <v>37</v>
      </c>
      <c r="C23" s="29"/>
      <c r="D23" s="30">
        <f>($D$4+0.15)/0.95*60</f>
        <v>31.578947368421101</v>
      </c>
      <c r="F23" s="31">
        <v>1</v>
      </c>
      <c r="G23" s="32"/>
      <c r="I23" s="75"/>
      <c r="J23" s="76"/>
      <c r="K23" s="4"/>
      <c r="L23" s="77"/>
      <c r="M23" s="65"/>
    </row>
    <row r="24" spans="2:13" ht="18.75" customHeight="1" x14ac:dyDescent="0.35">
      <c r="B24" s="28" t="s">
        <v>38</v>
      </c>
      <c r="C24" s="29"/>
      <c r="D24" s="30">
        <v>35</v>
      </c>
      <c r="F24" s="31"/>
      <c r="G24" s="32"/>
      <c r="I24" s="73" t="s">
        <v>39</v>
      </c>
      <c r="J24" s="78">
        <f>SUM(D21:D22)/(MAX(D21:D22)*COUNT(D21:D22))</f>
        <v>0.98611111111111105</v>
      </c>
      <c r="K24" s="4"/>
      <c r="L24" s="23"/>
      <c r="M24" s="65"/>
    </row>
    <row r="25" spans="2:13" ht="18.75" customHeight="1" x14ac:dyDescent="0.35">
      <c r="B25" s="28" t="s">
        <v>40</v>
      </c>
      <c r="C25" s="29">
        <v>30</v>
      </c>
      <c r="D25" s="30"/>
      <c r="E25" s="34"/>
      <c r="F25" s="35"/>
      <c r="G25" s="36">
        <v>1</v>
      </c>
      <c r="H25" s="18"/>
      <c r="I25" s="23"/>
      <c r="J25" s="23"/>
      <c r="K25" s="65"/>
    </row>
    <row r="26" spans="2:13" ht="18.75" customHeight="1" x14ac:dyDescent="0.35">
      <c r="B26" s="37" t="s">
        <v>41</v>
      </c>
      <c r="C26" s="120">
        <f>MAX(D18:D25)</f>
        <v>36</v>
      </c>
      <c r="D26" s="120"/>
      <c r="E26" s="38"/>
      <c r="F26" s="31">
        <f>SUM(F18:F25)</f>
        <v>3</v>
      </c>
      <c r="G26" s="39">
        <f>SUM(G18:G25)</f>
        <v>5</v>
      </c>
      <c r="H26" s="40"/>
      <c r="I26" s="23"/>
      <c r="J26" s="23"/>
      <c r="K26" s="65"/>
    </row>
    <row r="27" spans="2:13" ht="18.75" customHeight="1" x14ac:dyDescent="0.35">
      <c r="B27" s="41" t="s">
        <v>4</v>
      </c>
      <c r="C27" s="111">
        <f>C26*G26/$C$4</f>
        <v>90</v>
      </c>
      <c r="D27" s="111"/>
      <c r="E27" s="42"/>
      <c r="G27" s="3"/>
      <c r="H27" s="43"/>
      <c r="J27" s="23"/>
      <c r="K27" s="65"/>
    </row>
    <row r="28" spans="2:13" ht="18.75" customHeight="1" x14ac:dyDescent="0.35">
      <c r="B28" s="44" t="s">
        <v>42</v>
      </c>
      <c r="C28" s="111">
        <f>C26*F26/$C$4</f>
        <v>54</v>
      </c>
      <c r="D28" s="111"/>
      <c r="E28" s="42"/>
      <c r="G28" s="3"/>
      <c r="H28" s="43"/>
      <c r="J28" s="23"/>
      <c r="K28" s="65"/>
    </row>
    <row r="29" spans="2:13" ht="18.75" customHeight="1" x14ac:dyDescent="0.35">
      <c r="B29" s="45"/>
      <c r="C29" s="45"/>
      <c r="D29" s="45"/>
      <c r="E29" s="45"/>
      <c r="F29" s="45"/>
      <c r="G29" s="45"/>
      <c r="H29" s="45"/>
      <c r="I29" s="45"/>
      <c r="J29" s="23"/>
      <c r="K29" s="65"/>
    </row>
    <row r="30" spans="2:13" ht="18.75" customHeight="1" x14ac:dyDescent="0.35">
      <c r="B30" s="22" t="s">
        <v>43</v>
      </c>
      <c r="C30" s="19"/>
      <c r="D30" s="19"/>
      <c r="E30" s="19"/>
      <c r="F30" s="23"/>
      <c r="G30" s="24"/>
      <c r="H30" s="24"/>
      <c r="I30" s="23"/>
      <c r="J30" s="23"/>
      <c r="K30" s="65"/>
    </row>
    <row r="31" spans="2:13" ht="31" x14ac:dyDescent="0.3">
      <c r="B31" s="7" t="s">
        <v>22</v>
      </c>
      <c r="C31" s="25" t="s">
        <v>23</v>
      </c>
      <c r="D31" s="25" t="s">
        <v>24</v>
      </c>
      <c r="F31" s="26" t="s">
        <v>25</v>
      </c>
      <c r="G31" s="27" t="s">
        <v>26</v>
      </c>
      <c r="I31" s="66" t="s">
        <v>27</v>
      </c>
      <c r="J31" s="67" t="s">
        <v>28</v>
      </c>
      <c r="K31" s="68" t="s">
        <v>29</v>
      </c>
      <c r="L31" s="66" t="s">
        <v>30</v>
      </c>
      <c r="M31" s="66" t="s">
        <v>31</v>
      </c>
    </row>
    <row r="32" spans="2:13" ht="18.75" customHeight="1" x14ac:dyDescent="0.35">
      <c r="B32" s="28" t="s">
        <v>32</v>
      </c>
      <c r="C32" s="29">
        <v>30</v>
      </c>
      <c r="D32" s="30"/>
      <c r="F32" s="31"/>
      <c r="G32" s="32">
        <v>1</v>
      </c>
      <c r="I32" s="34"/>
      <c r="J32" s="23"/>
      <c r="K32" s="69"/>
      <c r="L32" s="23"/>
      <c r="M32" s="65"/>
    </row>
    <row r="33" spans="2:15" ht="18.75" customHeight="1" x14ac:dyDescent="0.35">
      <c r="B33" s="28" t="s">
        <v>33</v>
      </c>
      <c r="C33" s="29"/>
      <c r="D33" s="33">
        <v>35</v>
      </c>
      <c r="F33" s="31">
        <v>1</v>
      </c>
      <c r="G33" s="32"/>
      <c r="I33" s="34"/>
      <c r="J33" s="23"/>
      <c r="K33" s="69"/>
      <c r="L33" s="23"/>
      <c r="M33" s="65"/>
    </row>
    <row r="34" spans="2:15" ht="18.75" customHeight="1" x14ac:dyDescent="0.35">
      <c r="B34" s="28" t="s">
        <v>34</v>
      </c>
      <c r="C34" s="29"/>
      <c r="D34" s="30">
        <v>30</v>
      </c>
      <c r="F34" s="31"/>
      <c r="G34" s="32"/>
      <c r="I34" s="34"/>
      <c r="J34" s="23"/>
      <c r="K34" s="69"/>
      <c r="L34" s="23"/>
      <c r="M34" s="65"/>
    </row>
    <row r="35" spans="2:15" ht="18.75" customHeight="1" x14ac:dyDescent="0.35">
      <c r="B35" s="28" t="s">
        <v>44</v>
      </c>
      <c r="C35" s="29"/>
      <c r="D35" s="30">
        <v>41.683870967741903</v>
      </c>
      <c r="F35" s="31">
        <v>1</v>
      </c>
      <c r="G35" s="32">
        <v>1</v>
      </c>
      <c r="I35" s="70">
        <v>0.63</v>
      </c>
      <c r="J35" s="71">
        <f>3600/I35/150000</f>
        <v>3.8095238095238099E-2</v>
      </c>
      <c r="K35" s="72">
        <v>512</v>
      </c>
      <c r="L35" s="73">
        <v>5</v>
      </c>
      <c r="M35" s="74">
        <v>0.64400000000000002</v>
      </c>
    </row>
    <row r="36" spans="2:15" ht="18.75" customHeight="1" x14ac:dyDescent="0.35">
      <c r="B36" s="28" t="s">
        <v>45</v>
      </c>
      <c r="C36" s="29"/>
      <c r="D36" s="30">
        <v>41.6629940779507</v>
      </c>
      <c r="F36" s="31">
        <v>1</v>
      </c>
      <c r="G36" s="32">
        <v>1</v>
      </c>
      <c r="I36" s="70">
        <v>0.60099999999999998</v>
      </c>
      <c r="J36" s="71">
        <f>3600/I36/83000</f>
        <v>7.2168875167892901E-2</v>
      </c>
      <c r="K36" s="72">
        <v>268</v>
      </c>
      <c r="L36" s="73">
        <v>5</v>
      </c>
      <c r="M36" s="74">
        <v>0.35599999999999998</v>
      </c>
    </row>
    <row r="37" spans="2:15" ht="18.75" customHeight="1" x14ac:dyDescent="0.35">
      <c r="B37" s="28" t="s">
        <v>37</v>
      </c>
      <c r="C37" s="29"/>
      <c r="D37" s="30">
        <f>($D$4+0.15)/0.95*60</f>
        <v>31.578947368421101</v>
      </c>
      <c r="F37" s="31">
        <v>1</v>
      </c>
      <c r="G37" s="32"/>
      <c r="I37" s="75"/>
      <c r="J37" s="76"/>
      <c r="K37" s="4"/>
      <c r="L37" s="77"/>
      <c r="M37" s="65"/>
    </row>
    <row r="38" spans="2:15" ht="18.75" customHeight="1" x14ac:dyDescent="0.35">
      <c r="B38" s="28" t="s">
        <v>38</v>
      </c>
      <c r="C38" s="29"/>
      <c r="D38" s="30">
        <v>35</v>
      </c>
      <c r="F38" s="31">
        <v>1</v>
      </c>
      <c r="G38" s="32"/>
      <c r="I38" s="73" t="s">
        <v>39</v>
      </c>
      <c r="J38" s="78">
        <f>SUM(D35:D36)/(MAX(D35:D36)*COUNT(D35:D36))</f>
        <v>0.99974958072143305</v>
      </c>
      <c r="K38" s="4"/>
      <c r="L38" s="23"/>
      <c r="M38" s="65"/>
    </row>
    <row r="39" spans="2:15" ht="18.75" customHeight="1" x14ac:dyDescent="0.35">
      <c r="B39" s="28" t="s">
        <v>46</v>
      </c>
      <c r="C39" s="29">
        <v>30</v>
      </c>
      <c r="D39" s="30"/>
      <c r="E39" s="34"/>
      <c r="F39" s="35"/>
      <c r="G39" s="36">
        <v>1</v>
      </c>
      <c r="H39" s="18"/>
      <c r="I39" s="23"/>
      <c r="J39" s="23"/>
      <c r="K39" s="65"/>
    </row>
    <row r="40" spans="2:15" ht="18.75" customHeight="1" x14ac:dyDescent="0.35">
      <c r="B40" s="28" t="s">
        <v>40</v>
      </c>
      <c r="C40" s="29">
        <v>30</v>
      </c>
      <c r="D40" s="30"/>
      <c r="E40" s="34"/>
      <c r="F40" s="35"/>
      <c r="G40" s="36">
        <v>1</v>
      </c>
      <c r="H40" s="18"/>
      <c r="I40" s="23"/>
      <c r="J40" s="23"/>
      <c r="K40" s="65"/>
    </row>
    <row r="41" spans="2:15" ht="18.75" customHeight="1" x14ac:dyDescent="0.35">
      <c r="B41" s="37" t="s">
        <v>41</v>
      </c>
      <c r="C41" s="120">
        <f>MAX(D32:D40)</f>
        <v>41.683870967741903</v>
      </c>
      <c r="D41" s="120"/>
      <c r="E41" s="38"/>
      <c r="F41" s="31">
        <f>SUM(F32:F40)</f>
        <v>5</v>
      </c>
      <c r="G41" s="39">
        <f>SUM(G32:G40)</f>
        <v>5</v>
      </c>
      <c r="H41" s="40"/>
      <c r="I41" s="23"/>
      <c r="J41" s="23"/>
      <c r="K41" s="65"/>
    </row>
    <row r="42" spans="2:15" ht="18.75" customHeight="1" x14ac:dyDescent="0.35">
      <c r="B42" s="41" t="s">
        <v>5</v>
      </c>
      <c r="C42" s="111">
        <f>C41*G41/$C$4</f>
        <v>104.209677419355</v>
      </c>
      <c r="D42" s="111"/>
      <c r="E42" s="42"/>
      <c r="G42" s="3"/>
      <c r="H42" s="43"/>
      <c r="J42" s="23"/>
      <c r="K42" s="65"/>
    </row>
    <row r="43" spans="2:15" ht="18.75" customHeight="1" x14ac:dyDescent="0.35">
      <c r="B43" s="41" t="s">
        <v>42</v>
      </c>
      <c r="C43" s="111">
        <f>C41*F41/$C$4</f>
        <v>104.209677419355</v>
      </c>
      <c r="D43" s="111"/>
      <c r="E43" s="42"/>
      <c r="G43" s="3"/>
      <c r="H43" s="43"/>
      <c r="J43" s="23"/>
      <c r="K43" s="65"/>
    </row>
    <row r="44" spans="2:15" ht="18.75" customHeight="1" x14ac:dyDescent="0.35">
      <c r="B44" s="45"/>
      <c r="C44" s="45"/>
      <c r="D44" s="45"/>
      <c r="E44" s="45"/>
      <c r="F44" s="45"/>
      <c r="G44" s="45"/>
      <c r="H44" s="45"/>
      <c r="I44" s="45"/>
      <c r="J44" s="23"/>
      <c r="K44" s="65"/>
    </row>
    <row r="45" spans="2:15" ht="18.75" customHeight="1" x14ac:dyDescent="0.35">
      <c r="B45" s="22" t="s">
        <v>47</v>
      </c>
      <c r="C45" s="19"/>
      <c r="D45" s="19"/>
      <c r="E45" s="19"/>
      <c r="F45" s="23"/>
      <c r="G45" s="24"/>
      <c r="H45" s="24"/>
      <c r="I45" s="23"/>
      <c r="J45" s="23"/>
      <c r="K45" s="65"/>
    </row>
    <row r="46" spans="2:15" ht="31" x14ac:dyDescent="0.3">
      <c r="B46" s="7" t="s">
        <v>22</v>
      </c>
      <c r="C46" s="25" t="s">
        <v>48</v>
      </c>
      <c r="D46" s="25" t="s">
        <v>49</v>
      </c>
      <c r="F46" s="26" t="s">
        <v>25</v>
      </c>
      <c r="G46" s="27" t="s">
        <v>26</v>
      </c>
      <c r="I46" s="79"/>
      <c r="J46" s="79"/>
      <c r="K46" s="80"/>
      <c r="L46" s="79"/>
      <c r="M46" s="79"/>
    </row>
    <row r="47" spans="2:15" ht="18.75" customHeight="1" x14ac:dyDescent="0.35">
      <c r="B47" s="28" t="s">
        <v>47</v>
      </c>
      <c r="C47" s="29">
        <v>60</v>
      </c>
      <c r="D47" s="30">
        <f>C47*F47/G47</f>
        <v>0</v>
      </c>
      <c r="F47" s="31"/>
      <c r="G47" s="32">
        <v>1</v>
      </c>
      <c r="I47" s="34"/>
      <c r="J47" s="23"/>
      <c r="K47" s="69"/>
      <c r="L47" s="23"/>
      <c r="M47" s="65"/>
      <c r="O47" s="81"/>
    </row>
    <row r="48" spans="2:15" ht="18.75" customHeight="1" x14ac:dyDescent="0.35">
      <c r="B48" s="41" t="s">
        <v>7</v>
      </c>
      <c r="C48" s="111">
        <f>SUM(C47:C47)/$C$4</f>
        <v>30</v>
      </c>
      <c r="D48" s="111"/>
      <c r="E48" s="42"/>
      <c r="G48" s="43"/>
      <c r="H48" s="43"/>
      <c r="J48" s="23"/>
      <c r="K48" s="65"/>
    </row>
    <row r="49" spans="2:14" ht="18.75" customHeight="1" x14ac:dyDescent="0.35">
      <c r="B49" s="44" t="s">
        <v>42</v>
      </c>
      <c r="C49" s="111">
        <f>SUM(D47:D47)/$C$4</f>
        <v>0</v>
      </c>
      <c r="D49" s="111"/>
      <c r="E49" s="42"/>
      <c r="G49" s="43"/>
      <c r="H49" s="43"/>
      <c r="J49" s="23"/>
      <c r="K49" s="65"/>
    </row>
    <row r="50" spans="2:14" ht="18.75" customHeight="1" x14ac:dyDescent="0.35">
      <c r="B50" s="45"/>
      <c r="C50" s="45"/>
      <c r="D50" s="45"/>
      <c r="E50" s="45"/>
      <c r="F50" s="45"/>
      <c r="G50" s="45"/>
      <c r="H50" s="45"/>
      <c r="I50" s="45"/>
      <c r="J50" s="23"/>
      <c r="K50" s="65"/>
    </row>
    <row r="51" spans="2:14" s="2" customFormat="1" ht="18.75" customHeight="1" x14ac:dyDescent="0.45">
      <c r="B51" s="46" t="s">
        <v>50</v>
      </c>
      <c r="C51" s="47"/>
      <c r="D51" s="48"/>
      <c r="E51" s="48"/>
      <c r="F51" s="48"/>
      <c r="G51" s="49"/>
      <c r="H51" s="49"/>
      <c r="I51" s="82"/>
      <c r="J51" s="48"/>
      <c r="K51" s="48"/>
      <c r="L51" s="48"/>
    </row>
    <row r="52" spans="2:14" s="2" customFormat="1" ht="37" x14ac:dyDescent="0.3">
      <c r="B52" s="7" t="s">
        <v>22</v>
      </c>
      <c r="C52" s="25" t="s">
        <v>51</v>
      </c>
      <c r="D52" s="25" t="s">
        <v>52</v>
      </c>
      <c r="F52" s="50" t="s">
        <v>25</v>
      </c>
      <c r="G52" s="51" t="s">
        <v>26</v>
      </c>
      <c r="H52" s="52"/>
      <c r="I52" s="83"/>
      <c r="J52" s="84" t="s">
        <v>53</v>
      </c>
      <c r="K52" s="85" t="s">
        <v>54</v>
      </c>
      <c r="L52" s="84" t="s">
        <v>55</v>
      </c>
      <c r="M52" s="84" t="s">
        <v>56</v>
      </c>
      <c r="N52" s="84" t="s">
        <v>57</v>
      </c>
    </row>
    <row r="53" spans="2:14" s="2" customFormat="1" ht="18.75" customHeight="1" x14ac:dyDescent="0.45">
      <c r="B53" s="28" t="s">
        <v>58</v>
      </c>
      <c r="C53" s="29">
        <v>40</v>
      </c>
      <c r="D53" s="29">
        <f>C53/L53</f>
        <v>40</v>
      </c>
      <c r="F53" s="53"/>
      <c r="G53" s="54">
        <f>L53</f>
        <v>1</v>
      </c>
      <c r="H53" s="52"/>
      <c r="I53" s="86" t="s">
        <v>59</v>
      </c>
      <c r="J53" s="87">
        <v>1</v>
      </c>
      <c r="K53" s="88"/>
      <c r="L53" s="89">
        <v>1</v>
      </c>
      <c r="M53" s="90">
        <f>C53/L53</f>
        <v>40</v>
      </c>
      <c r="N53" s="91"/>
    </row>
    <row r="54" spans="2:14" s="2" customFormat="1" ht="18.75" customHeight="1" x14ac:dyDescent="0.45">
      <c r="B54" s="55" t="s">
        <v>90</v>
      </c>
      <c r="C54" s="29">
        <v>40</v>
      </c>
      <c r="D54" s="29">
        <f>C54</f>
        <v>40</v>
      </c>
      <c r="F54" s="53">
        <v>1</v>
      </c>
      <c r="G54" s="54">
        <f t="shared" ref="G54:G56" si="0">L54</f>
        <v>0</v>
      </c>
      <c r="H54" s="52"/>
      <c r="I54" s="86"/>
      <c r="J54" s="87"/>
      <c r="K54" s="88"/>
      <c r="L54" s="89"/>
      <c r="M54" s="90">
        <f>D54</f>
        <v>40</v>
      </c>
      <c r="N54" s="91"/>
    </row>
    <row r="55" spans="2:14" s="2" customFormat="1" ht="18.75" customHeight="1" x14ac:dyDescent="0.45">
      <c r="B55" s="28" t="s">
        <v>60</v>
      </c>
      <c r="C55" s="29">
        <f>K55*8</f>
        <v>0</v>
      </c>
      <c r="D55" s="29" t="e">
        <f>C55/L55</f>
        <v>#DIV/0!</v>
      </c>
      <c r="F55" s="53"/>
      <c r="G55" s="54">
        <f t="shared" si="0"/>
        <v>0</v>
      </c>
      <c r="H55" s="52"/>
      <c r="I55" s="86" t="s">
        <v>59</v>
      </c>
      <c r="J55" s="87">
        <f>ROUNDUP(C55/$C$57,0)</f>
        <v>0</v>
      </c>
      <c r="K55" s="88"/>
      <c r="L55" s="89">
        <f>IF(J55&gt;10,10,J55)</f>
        <v>0</v>
      </c>
      <c r="M55" s="90" t="e">
        <f>C55/L55</f>
        <v>#DIV/0!</v>
      </c>
      <c r="N55" s="91">
        <v>1</v>
      </c>
    </row>
    <row r="56" spans="2:14" s="2" customFormat="1" ht="18.75" customHeight="1" x14ac:dyDescent="0.45">
      <c r="B56" s="55" t="s">
        <v>61</v>
      </c>
      <c r="C56" s="29">
        <v>60</v>
      </c>
      <c r="D56" s="29">
        <f>C56/L56</f>
        <v>60</v>
      </c>
      <c r="F56" s="53"/>
      <c r="G56" s="54">
        <f t="shared" si="0"/>
        <v>1</v>
      </c>
      <c r="H56" s="52"/>
      <c r="I56" s="86" t="s">
        <v>59</v>
      </c>
      <c r="J56" s="87">
        <v>1</v>
      </c>
      <c r="K56" s="88"/>
      <c r="L56" s="89">
        <v>1</v>
      </c>
      <c r="M56" s="90">
        <f>C56/L56</f>
        <v>60</v>
      </c>
      <c r="N56" s="91"/>
    </row>
    <row r="57" spans="2:14" s="2" customFormat="1" ht="18.75" customHeight="1" x14ac:dyDescent="0.45">
      <c r="B57" s="28" t="s">
        <v>62</v>
      </c>
      <c r="C57" s="29">
        <f>IF($D$4&gt;0.3,($D$4+0.3)/0.7*60,(0.3+0.4)/0.6*60)</f>
        <v>55.714285714285701</v>
      </c>
      <c r="D57" s="29">
        <f>C57</f>
        <v>55.714285714285701</v>
      </c>
      <c r="F57" s="53">
        <v>1</v>
      </c>
      <c r="G57" s="54">
        <f t="shared" ref="G57:G58" si="1">L57</f>
        <v>0</v>
      </c>
      <c r="H57" s="52"/>
      <c r="I57" s="86"/>
      <c r="J57" s="87"/>
      <c r="K57" s="88"/>
      <c r="L57" s="89"/>
      <c r="M57" s="90">
        <f>D57</f>
        <v>55.714285714285701</v>
      </c>
      <c r="N57" s="91"/>
    </row>
    <row r="58" spans="2:14" s="2" customFormat="1" ht="18.75" customHeight="1" x14ac:dyDescent="0.45">
      <c r="B58" s="56" t="s">
        <v>63</v>
      </c>
      <c r="C58" s="29">
        <v>50</v>
      </c>
      <c r="D58" s="29">
        <f>C58/G58</f>
        <v>50</v>
      </c>
      <c r="F58" s="53"/>
      <c r="G58" s="54">
        <f t="shared" si="1"/>
        <v>1</v>
      </c>
      <c r="H58" s="52"/>
      <c r="I58" s="86" t="s">
        <v>59</v>
      </c>
      <c r="J58" s="87">
        <f>ROUNDUP(C58/$C$57,0)</f>
        <v>1</v>
      </c>
      <c r="K58" s="88"/>
      <c r="L58" s="89">
        <v>1</v>
      </c>
      <c r="M58" s="90">
        <f>C58/L58</f>
        <v>50</v>
      </c>
      <c r="N58" s="91"/>
    </row>
    <row r="59" spans="2:14" s="2" customFormat="1" ht="18.75" customHeight="1" x14ac:dyDescent="0.45">
      <c r="B59" s="28" t="s">
        <v>64</v>
      </c>
      <c r="C59" s="29">
        <v>60</v>
      </c>
      <c r="D59" s="29">
        <f t="shared" ref="D59:D61" si="2">C59/G59</f>
        <v>60</v>
      </c>
      <c r="F59" s="53"/>
      <c r="G59" s="54">
        <v>1</v>
      </c>
      <c r="H59" s="52"/>
      <c r="I59" s="86" t="s">
        <v>59</v>
      </c>
      <c r="J59" s="87">
        <f>ROUNDUP(C59/$C$57,0)</f>
        <v>2</v>
      </c>
      <c r="K59" s="88"/>
      <c r="L59" s="89">
        <v>1</v>
      </c>
      <c r="M59" s="90">
        <f t="shared" ref="M59:M61" si="3">C59/L59</f>
        <v>60</v>
      </c>
      <c r="N59" s="91"/>
    </row>
    <row r="60" spans="2:14" s="2" customFormat="1" ht="18.75" customHeight="1" x14ac:dyDescent="0.45">
      <c r="B60" s="28" t="s">
        <v>65</v>
      </c>
      <c r="C60" s="29">
        <v>60</v>
      </c>
      <c r="D60" s="29">
        <f t="shared" si="2"/>
        <v>60</v>
      </c>
      <c r="F60" s="53"/>
      <c r="G60" s="54">
        <v>1</v>
      </c>
      <c r="H60" s="52"/>
      <c r="I60" s="86" t="s">
        <v>59</v>
      </c>
      <c r="J60" s="87">
        <f>ROUNDUP(C60/$C$57,0)</f>
        <v>2</v>
      </c>
      <c r="K60" s="88"/>
      <c r="L60" s="89">
        <v>1</v>
      </c>
      <c r="M60" s="90">
        <f t="shared" si="3"/>
        <v>60</v>
      </c>
      <c r="N60" s="91"/>
    </row>
    <row r="61" spans="2:14" s="2" customFormat="1" ht="18.75" customHeight="1" x14ac:dyDescent="0.45">
      <c r="B61" s="28" t="s">
        <v>67</v>
      </c>
      <c r="C61" s="29">
        <v>150</v>
      </c>
      <c r="D61" s="29">
        <f t="shared" si="2"/>
        <v>75</v>
      </c>
      <c r="F61" s="53"/>
      <c r="G61" s="54">
        <v>2</v>
      </c>
      <c r="H61" s="52"/>
      <c r="I61" s="86" t="s">
        <v>59</v>
      </c>
      <c r="J61" s="87">
        <f>ROUNDUP(C61/$C$57,0)</f>
        <v>3</v>
      </c>
      <c r="K61" s="88"/>
      <c r="L61" s="89">
        <v>4</v>
      </c>
      <c r="M61" s="90">
        <f t="shared" si="3"/>
        <v>37.5</v>
      </c>
      <c r="N61" s="91"/>
    </row>
    <row r="62" spans="2:14" s="2" customFormat="1" ht="18.75" customHeight="1" x14ac:dyDescent="0.45">
      <c r="B62" s="41" t="s">
        <v>6</v>
      </c>
      <c r="C62" s="125">
        <f>IF($K$55&gt;0,MAX(D53:D61)*G62/1,0)</f>
        <v>0</v>
      </c>
      <c r="D62" s="126"/>
      <c r="E62" s="57"/>
      <c r="F62" s="2">
        <f>SUM(F53:F61)</f>
        <v>2</v>
      </c>
      <c r="G62" s="2">
        <f>SUM(G53:G61)</f>
        <v>7</v>
      </c>
      <c r="H62" s="52"/>
      <c r="I62" s="86" t="s">
        <v>68</v>
      </c>
      <c r="J62" s="87">
        <f>SUM(J53:J61)</f>
        <v>10</v>
      </c>
      <c r="K62" s="88"/>
      <c r="L62" s="92">
        <f>SUM(L53:L61)</f>
        <v>9</v>
      </c>
      <c r="M62" s="93" t="e">
        <f>MAX(M53:M61)*L62</f>
        <v>#DIV/0!</v>
      </c>
      <c r="N62" s="89"/>
    </row>
    <row r="63" spans="2:14" s="2" customFormat="1" ht="18.75" customHeight="1" x14ac:dyDescent="0.45">
      <c r="B63" s="58" t="s">
        <v>42</v>
      </c>
      <c r="C63" s="125">
        <f>IF($K$55&gt;0,MAX(D53:D61)*F62/1,0)</f>
        <v>0</v>
      </c>
      <c r="D63" s="126"/>
      <c r="E63" s="59"/>
      <c r="F63" s="60"/>
      <c r="G63" s="61"/>
      <c r="H63" s="61"/>
      <c r="I63" s="94"/>
      <c r="J63" s="60"/>
      <c r="K63" s="60"/>
      <c r="L63" s="60"/>
    </row>
    <row r="65" spans="2:15" ht="18.75" customHeight="1" x14ac:dyDescent="0.35">
      <c r="B65" s="22" t="s">
        <v>69</v>
      </c>
      <c r="C65" s="19"/>
      <c r="D65" s="19"/>
      <c r="E65" s="19"/>
      <c r="F65" s="23"/>
      <c r="G65" s="24"/>
      <c r="H65" s="24"/>
      <c r="I65" s="23"/>
      <c r="J65" s="23"/>
      <c r="K65" s="65"/>
    </row>
    <row r="66" spans="2:15" ht="31" x14ac:dyDescent="0.3">
      <c r="B66" s="7" t="s">
        <v>22</v>
      </c>
      <c r="C66" s="25" t="s">
        <v>48</v>
      </c>
      <c r="D66" s="25" t="s">
        <v>49</v>
      </c>
      <c r="F66" s="26" t="s">
        <v>25</v>
      </c>
      <c r="G66" s="27" t="s">
        <v>26</v>
      </c>
      <c r="I66" s="79"/>
      <c r="J66" s="79"/>
      <c r="K66" s="80"/>
      <c r="L66" s="79"/>
      <c r="M66" s="79"/>
    </row>
    <row r="67" spans="2:15" ht="18.75" customHeight="1" x14ac:dyDescent="0.35">
      <c r="B67" s="28" t="s">
        <v>69</v>
      </c>
      <c r="C67" s="29">
        <v>0</v>
      </c>
      <c r="D67" s="30">
        <f>C67*F67</f>
        <v>0</v>
      </c>
      <c r="F67" s="31">
        <v>1</v>
      </c>
      <c r="G67" s="32">
        <v>1</v>
      </c>
      <c r="I67" s="34"/>
      <c r="J67" s="23"/>
      <c r="K67" s="69"/>
      <c r="L67" s="23"/>
      <c r="M67" s="65"/>
      <c r="O67" s="81"/>
    </row>
    <row r="68" spans="2:15" ht="18.75" customHeight="1" x14ac:dyDescent="0.35">
      <c r="B68" s="41" t="s">
        <v>8</v>
      </c>
      <c r="C68" s="111">
        <f>SUM(C67:C67)*G67/$C$4</f>
        <v>0</v>
      </c>
      <c r="D68" s="111"/>
      <c r="E68" s="42"/>
      <c r="G68" s="43"/>
      <c r="H68" s="43"/>
      <c r="J68" s="23"/>
      <c r="K68" s="65"/>
    </row>
    <row r="69" spans="2:15" ht="18.75" customHeight="1" x14ac:dyDescent="0.35">
      <c r="B69" s="44" t="s">
        <v>42</v>
      </c>
      <c r="C69" s="111">
        <f>SUM(D67:D67)/$C$4</f>
        <v>0</v>
      </c>
      <c r="D69" s="111"/>
      <c r="E69" s="42"/>
      <c r="G69" s="43"/>
      <c r="H69" s="43"/>
      <c r="J69" s="23"/>
      <c r="K69" s="65"/>
    </row>
    <row r="70" spans="2:15" ht="18.75" customHeight="1" x14ac:dyDescent="0.35">
      <c r="B70" s="45"/>
      <c r="C70" s="45"/>
      <c r="D70" s="45"/>
      <c r="E70" s="45"/>
      <c r="F70" s="45"/>
      <c r="G70" s="45"/>
      <c r="H70" s="45"/>
      <c r="I70" s="45"/>
      <c r="J70" s="23"/>
      <c r="K70" s="65"/>
    </row>
    <row r="71" spans="2:15" ht="18.75" customHeight="1" x14ac:dyDescent="0.4">
      <c r="B71" s="62" t="s">
        <v>70</v>
      </c>
      <c r="C71" s="19"/>
      <c r="D71" s="19"/>
      <c r="E71" s="19"/>
      <c r="F71" s="23"/>
      <c r="G71" s="24"/>
      <c r="H71" s="24"/>
      <c r="I71" s="23"/>
      <c r="J71" s="23"/>
      <c r="K71" s="65"/>
    </row>
    <row r="72" spans="2:15" ht="31" x14ac:dyDescent="0.3">
      <c r="B72" s="7" t="s">
        <v>22</v>
      </c>
      <c r="C72" s="25" t="s">
        <v>48</v>
      </c>
      <c r="D72" s="25" t="s">
        <v>49</v>
      </c>
      <c r="F72" s="26" t="s">
        <v>25</v>
      </c>
      <c r="G72" s="27" t="s">
        <v>26</v>
      </c>
      <c r="I72" s="79"/>
      <c r="J72" s="79"/>
      <c r="K72" s="80"/>
      <c r="L72" s="79"/>
      <c r="M72" s="79"/>
    </row>
    <row r="73" spans="2:15" ht="18.75" customHeight="1" x14ac:dyDescent="0.35">
      <c r="B73" s="55" t="s">
        <v>70</v>
      </c>
      <c r="C73" s="29"/>
      <c r="D73" s="30">
        <f>C73*F73</f>
        <v>0</v>
      </c>
      <c r="F73" s="31"/>
      <c r="G73" s="32">
        <v>1</v>
      </c>
      <c r="I73" s="34"/>
      <c r="J73" s="23"/>
      <c r="K73" s="69"/>
      <c r="L73" s="23"/>
      <c r="M73" s="65"/>
      <c r="O73" s="81"/>
    </row>
    <row r="74" spans="2:15" ht="18.75" customHeight="1" x14ac:dyDescent="0.35">
      <c r="B74" s="41" t="s">
        <v>9</v>
      </c>
      <c r="C74" s="111">
        <f>SUM(C73:C73)*G73/$C$4</f>
        <v>0</v>
      </c>
      <c r="D74" s="111"/>
      <c r="E74" s="42"/>
      <c r="G74" s="43"/>
      <c r="H74" s="43"/>
      <c r="J74" s="23"/>
      <c r="K74" s="65"/>
    </row>
    <row r="75" spans="2:15" ht="18.75" customHeight="1" x14ac:dyDescent="0.35">
      <c r="B75" s="44" t="s">
        <v>42</v>
      </c>
      <c r="C75" s="111">
        <f>SUM(D73:D73)/$C$4</f>
        <v>0</v>
      </c>
      <c r="D75" s="111"/>
      <c r="E75" s="42"/>
      <c r="G75" s="43"/>
      <c r="H75" s="43"/>
      <c r="J75" s="23"/>
      <c r="K75" s="65"/>
    </row>
    <row r="76" spans="2:15" ht="18.75" customHeight="1" x14ac:dyDescent="0.35">
      <c r="B76" s="45"/>
      <c r="C76" s="45"/>
      <c r="D76" s="45"/>
      <c r="E76" s="45"/>
      <c r="F76" s="45"/>
      <c r="G76" s="45"/>
      <c r="H76" s="45"/>
      <c r="I76" s="45"/>
      <c r="J76" s="23"/>
      <c r="K76" s="65"/>
    </row>
    <row r="77" spans="2:15" x14ac:dyDescent="0.35">
      <c r="B77" s="95" t="s">
        <v>71</v>
      </c>
      <c r="C77" s="96"/>
      <c r="D77" s="96"/>
      <c r="E77" s="96"/>
      <c r="F77" s="97"/>
      <c r="G77" s="98"/>
      <c r="H77" s="99"/>
      <c r="I77" s="99"/>
      <c r="J77" s="99"/>
      <c r="K77" s="99"/>
      <c r="L77" s="99"/>
      <c r="M77" s="99"/>
      <c r="N77" s="99"/>
    </row>
    <row r="78" spans="2:15" ht="31" x14ac:dyDescent="0.35">
      <c r="B78" s="7" t="s">
        <v>22</v>
      </c>
      <c r="C78" s="25" t="s">
        <v>48</v>
      </c>
      <c r="D78" s="25" t="s">
        <v>49</v>
      </c>
      <c r="E78" s="100"/>
      <c r="F78" s="26" t="s">
        <v>25</v>
      </c>
      <c r="G78" s="27" t="s">
        <v>26</v>
      </c>
      <c r="H78" s="99"/>
      <c r="I78" s="99"/>
      <c r="J78" s="99"/>
      <c r="K78" s="99"/>
      <c r="L78" s="99"/>
      <c r="M78" s="99"/>
      <c r="N78" s="99"/>
    </row>
    <row r="79" spans="2:15" ht="20.25" customHeight="1" x14ac:dyDescent="0.35">
      <c r="B79" s="101" t="s">
        <v>2</v>
      </c>
      <c r="C79" s="102">
        <v>40</v>
      </c>
      <c r="D79" s="103">
        <f>C79*F79</f>
        <v>40</v>
      </c>
      <c r="E79" s="100"/>
      <c r="F79" s="104">
        <v>1</v>
      </c>
      <c r="G79" s="105">
        <v>1</v>
      </c>
      <c r="H79" s="99"/>
      <c r="I79" s="99"/>
      <c r="J79" s="99"/>
      <c r="K79" s="99"/>
      <c r="L79" s="99"/>
      <c r="M79" s="99"/>
      <c r="N79" s="99"/>
    </row>
    <row r="80" spans="2:15" ht="20.25" customHeight="1" x14ac:dyDescent="0.35">
      <c r="B80" s="106" t="s">
        <v>72</v>
      </c>
      <c r="C80" s="102">
        <v>70</v>
      </c>
      <c r="D80" s="103"/>
      <c r="E80" s="100"/>
      <c r="F80" s="104"/>
      <c r="G80" s="105">
        <v>1</v>
      </c>
      <c r="H80" s="99"/>
      <c r="I80" s="99"/>
      <c r="J80" s="99"/>
      <c r="K80" s="99"/>
      <c r="L80" s="99"/>
      <c r="M80" s="99"/>
      <c r="N80" s="99"/>
    </row>
    <row r="81" spans="2:14" ht="20.25" customHeight="1" x14ac:dyDescent="0.35">
      <c r="B81" s="106" t="s">
        <v>11</v>
      </c>
      <c r="C81" s="102"/>
      <c r="D81" s="103"/>
      <c r="E81" s="100"/>
      <c r="F81" s="104"/>
      <c r="G81" s="105"/>
      <c r="H81" s="99"/>
      <c r="I81" s="99"/>
      <c r="J81" s="99"/>
      <c r="K81" s="99"/>
      <c r="L81" s="99"/>
      <c r="M81" s="99"/>
      <c r="N81" s="99"/>
    </row>
    <row r="82" spans="2:14" ht="20.25" customHeight="1" x14ac:dyDescent="0.35">
      <c r="B82" s="106" t="s">
        <v>73</v>
      </c>
      <c r="C82" s="102">
        <f>D82*G82/F82</f>
        <v>40</v>
      </c>
      <c r="D82" s="102">
        <v>20</v>
      </c>
      <c r="E82" s="100"/>
      <c r="F82" s="104">
        <v>1</v>
      </c>
      <c r="G82" s="105">
        <v>2</v>
      </c>
      <c r="H82" s="99"/>
      <c r="I82" s="99"/>
      <c r="J82" s="99"/>
      <c r="K82" s="99"/>
      <c r="L82" s="99"/>
      <c r="M82" s="99"/>
      <c r="N82" s="99"/>
    </row>
    <row r="83" spans="2:14" ht="20.25" customHeight="1" x14ac:dyDescent="0.35">
      <c r="B83" s="106" t="s">
        <v>74</v>
      </c>
      <c r="C83" s="102">
        <f>D82*G83/F82</f>
        <v>40</v>
      </c>
      <c r="D83" s="103"/>
      <c r="E83" s="100"/>
      <c r="F83" s="104"/>
      <c r="G83" s="105">
        <v>2</v>
      </c>
      <c r="H83" s="99"/>
      <c r="I83" s="99"/>
      <c r="J83" s="99"/>
      <c r="K83" s="99"/>
      <c r="L83" s="99"/>
      <c r="M83" s="99"/>
      <c r="N83" s="99"/>
    </row>
    <row r="84" spans="2:14" ht="20.25" customHeight="1" x14ac:dyDescent="0.35">
      <c r="B84" s="106" t="s">
        <v>75</v>
      </c>
      <c r="C84" s="102">
        <f>D82*G84/F82</f>
        <v>40</v>
      </c>
      <c r="D84" s="103"/>
      <c r="E84" s="100"/>
      <c r="F84" s="104"/>
      <c r="G84" s="105">
        <v>2</v>
      </c>
      <c r="H84" s="99"/>
      <c r="I84" s="99"/>
      <c r="J84" s="99"/>
      <c r="K84" s="99"/>
      <c r="L84" s="99"/>
      <c r="M84" s="99"/>
      <c r="N84" s="99"/>
    </row>
    <row r="85" spans="2:14" ht="20.25" customHeight="1" x14ac:dyDescent="0.35">
      <c r="B85" s="41" t="s">
        <v>10</v>
      </c>
      <c r="C85" s="112">
        <f>SUM(C79:C84)</f>
        <v>230</v>
      </c>
      <c r="D85" s="113"/>
      <c r="E85" s="107"/>
      <c r="F85" s="100"/>
      <c r="G85" s="108"/>
      <c r="H85" s="99"/>
      <c r="I85" s="99"/>
      <c r="J85" s="99"/>
      <c r="K85" s="99"/>
      <c r="L85" s="99"/>
      <c r="M85" s="99"/>
      <c r="N85" s="99"/>
    </row>
    <row r="86" spans="2:14" ht="20.25" customHeight="1" x14ac:dyDescent="0.35">
      <c r="B86" s="109" t="s">
        <v>42</v>
      </c>
      <c r="C86" s="112">
        <f>SUM(D79:D84)</f>
        <v>60</v>
      </c>
      <c r="D86" s="113"/>
      <c r="E86" s="107"/>
      <c r="F86" s="100"/>
      <c r="G86" s="108"/>
      <c r="H86" s="99"/>
      <c r="I86" s="99"/>
      <c r="J86" s="99"/>
      <c r="K86" s="99"/>
      <c r="L86" s="99"/>
      <c r="M86" s="99"/>
      <c r="N86" s="99"/>
    </row>
  </sheetData>
  <mergeCells count="24">
    <mergeCell ref="B1:F1"/>
    <mergeCell ref="C2:F2"/>
    <mergeCell ref="C13:D13"/>
    <mergeCell ref="C14:D14"/>
    <mergeCell ref="C26:D26"/>
    <mergeCell ref="B3:B4"/>
    <mergeCell ref="C4:C5"/>
    <mergeCell ref="D4:D5"/>
    <mergeCell ref="B8:G9"/>
    <mergeCell ref="C27:D27"/>
    <mergeCell ref="C28:D28"/>
    <mergeCell ref="C41:D41"/>
    <mergeCell ref="C42:D42"/>
    <mergeCell ref="C43:D43"/>
    <mergeCell ref="C48:D48"/>
    <mergeCell ref="C49:D49"/>
    <mergeCell ref="C62:D62"/>
    <mergeCell ref="C63:D63"/>
    <mergeCell ref="C68:D68"/>
    <mergeCell ref="C69:D69"/>
    <mergeCell ref="C74:D74"/>
    <mergeCell ref="C75:D75"/>
    <mergeCell ref="C85:D85"/>
    <mergeCell ref="C86:D86"/>
  </mergeCells>
  <phoneticPr fontId="31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>
    <tabColor rgb="FFFFFF00"/>
  </sheetPr>
  <dimension ref="B1:O77"/>
  <sheetViews>
    <sheetView showGridLines="0" topLeftCell="A28" zoomScale="70" zoomScaleNormal="70" workbookViewId="0">
      <selection activeCell="B53" sqref="B53"/>
    </sheetView>
  </sheetViews>
  <sheetFormatPr defaultColWidth="8.25" defaultRowHeight="15.5" outlineLevelCol="1" x14ac:dyDescent="0.3"/>
  <cols>
    <col min="1" max="1" width="3.75" style="3" customWidth="1"/>
    <col min="2" max="2" width="25.75" style="3" customWidth="1"/>
    <col min="3" max="3" width="11.58203125" style="3" customWidth="1"/>
    <col min="4" max="5" width="14.58203125" style="3" customWidth="1"/>
    <col min="6" max="6" width="13.08203125" style="3" customWidth="1"/>
    <col min="7" max="7" width="11.08203125" style="4" customWidth="1"/>
    <col min="8" max="8" width="14.08203125" style="4" customWidth="1"/>
    <col min="9" max="9" width="17.5" style="3" customWidth="1" outlineLevel="1"/>
    <col min="10" max="11" width="10.5" style="3" customWidth="1" outlineLevel="1"/>
    <col min="12" max="12" width="15.33203125" style="3" customWidth="1" outlineLevel="1"/>
    <col min="13" max="13" width="12.58203125" style="3" customWidth="1" outlineLevel="1"/>
    <col min="14" max="14" width="15.58203125" style="3" customWidth="1"/>
    <col min="15" max="16384" width="8.25" style="3"/>
  </cols>
  <sheetData>
    <row r="1" spans="2:14" ht="18.75" customHeight="1" x14ac:dyDescent="0.3">
      <c r="B1" s="121" t="s">
        <v>12</v>
      </c>
      <c r="C1" s="122"/>
      <c r="D1" s="122"/>
      <c r="E1" s="122"/>
      <c r="F1" s="122"/>
      <c r="G1" s="6"/>
      <c r="H1" s="6"/>
      <c r="I1" s="8"/>
      <c r="J1" s="8"/>
      <c r="K1" s="6"/>
      <c r="L1" s="6"/>
      <c r="M1" s="8"/>
    </row>
    <row r="2" spans="2:14" x14ac:dyDescent="0.35">
      <c r="B2" s="7" t="s">
        <v>13</v>
      </c>
      <c r="C2" s="124" t="s">
        <v>80</v>
      </c>
      <c r="D2" s="123"/>
      <c r="E2" s="123"/>
      <c r="F2" s="123"/>
      <c r="G2" s="8"/>
      <c r="H2" s="8"/>
      <c r="I2" s="8"/>
      <c r="J2" s="8"/>
      <c r="K2" s="6"/>
      <c r="L2" s="6"/>
      <c r="M2" s="8"/>
    </row>
    <row r="3" spans="2:14" s="1" customFormat="1" ht="18.75" customHeight="1" x14ac:dyDescent="0.3">
      <c r="B3" s="114" t="s">
        <v>15</v>
      </c>
      <c r="C3" s="9" t="s">
        <v>16</v>
      </c>
      <c r="D3" s="9" t="s">
        <v>17</v>
      </c>
      <c r="E3" s="9" t="s">
        <v>18</v>
      </c>
      <c r="F3" s="9" t="s">
        <v>19</v>
      </c>
      <c r="H3" s="10"/>
      <c r="I3" s="63"/>
      <c r="J3" s="4"/>
      <c r="L3" s="64"/>
      <c r="M3" s="5"/>
    </row>
    <row r="4" spans="2:14" ht="18.75" customHeight="1" x14ac:dyDescent="0.35">
      <c r="B4" s="115"/>
      <c r="C4" s="116">
        <v>8</v>
      </c>
      <c r="D4" s="118">
        <v>0.26</v>
      </c>
      <c r="E4" s="12">
        <f>K15</f>
        <v>120</v>
      </c>
      <c r="F4" s="12"/>
      <c r="L4" s="6"/>
      <c r="M4" s="8"/>
    </row>
    <row r="5" spans="2:14" ht="18.75" customHeight="1" x14ac:dyDescent="0.35">
      <c r="B5" s="11"/>
      <c r="C5" s="117"/>
      <c r="D5" s="118"/>
      <c r="E5" s="12">
        <f>K28</f>
        <v>160</v>
      </c>
      <c r="F5" s="12"/>
      <c r="H5" s="10"/>
      <c r="I5" s="10"/>
      <c r="J5" s="10"/>
      <c r="L5" s="6"/>
      <c r="M5" s="8"/>
    </row>
    <row r="6" spans="2:14" ht="18.75" customHeight="1" x14ac:dyDescent="0.35">
      <c r="B6" s="13" t="s">
        <v>0</v>
      </c>
      <c r="C6" s="14">
        <f>C20+C34+C53+C76+C40+C59+C65</f>
        <v>138.75</v>
      </c>
      <c r="D6" s="15">
        <f>(C6-F6)/0.8</f>
        <v>135.9375</v>
      </c>
      <c r="E6" s="16" t="s">
        <v>20</v>
      </c>
      <c r="F6" s="17">
        <f>VLOOKUP(E6,$B$68:$C$82,2,0)</f>
        <v>30</v>
      </c>
      <c r="G6" s="18"/>
      <c r="H6" s="10"/>
      <c r="I6" s="19"/>
      <c r="J6" s="23"/>
      <c r="K6" s="65"/>
      <c r="N6" s="4"/>
    </row>
    <row r="7" spans="2:14" ht="18.75" customHeight="1" x14ac:dyDescent="0.35">
      <c r="B7" s="13" t="s">
        <v>1</v>
      </c>
      <c r="C7" s="14">
        <f>C21+C35+C54+C77+C41+C60+C66</f>
        <v>70</v>
      </c>
      <c r="D7" s="19"/>
      <c r="E7" s="20"/>
      <c r="F7" s="19"/>
      <c r="G7" s="18"/>
      <c r="H7" s="18"/>
      <c r="I7" s="19"/>
      <c r="J7" s="23"/>
      <c r="K7" s="65"/>
      <c r="N7" s="4"/>
    </row>
    <row r="8" spans="2:14" x14ac:dyDescent="0.35">
      <c r="B8" s="119"/>
      <c r="C8" s="119"/>
      <c r="D8" s="119"/>
      <c r="E8" s="119"/>
      <c r="F8" s="119"/>
      <c r="G8" s="119"/>
      <c r="H8" s="21"/>
      <c r="I8" s="21"/>
      <c r="J8" s="23"/>
      <c r="K8" s="65"/>
    </row>
    <row r="9" spans="2:14" x14ac:dyDescent="0.35">
      <c r="B9" s="119"/>
      <c r="C9" s="119"/>
      <c r="D9" s="119"/>
      <c r="E9" s="119"/>
      <c r="F9" s="119"/>
      <c r="G9" s="119"/>
      <c r="H9" s="21"/>
      <c r="I9" s="21"/>
      <c r="J9" s="23"/>
      <c r="K9" s="65"/>
    </row>
    <row r="10" spans="2:14" ht="18.75" customHeight="1" x14ac:dyDescent="0.35">
      <c r="B10" s="22" t="s">
        <v>21</v>
      </c>
      <c r="C10" s="19"/>
      <c r="D10" s="19"/>
      <c r="E10" s="19"/>
      <c r="F10" s="23"/>
      <c r="G10" s="24"/>
      <c r="H10" s="24"/>
      <c r="I10" s="23"/>
      <c r="J10" s="23"/>
      <c r="K10" s="65"/>
    </row>
    <row r="11" spans="2:14" ht="31" x14ac:dyDescent="0.3">
      <c r="B11" s="7" t="s">
        <v>22</v>
      </c>
      <c r="C11" s="25" t="s">
        <v>23</v>
      </c>
      <c r="D11" s="25" t="s">
        <v>24</v>
      </c>
      <c r="F11" s="26" t="s">
        <v>25</v>
      </c>
      <c r="G11" s="27" t="s">
        <v>26</v>
      </c>
      <c r="I11" s="66" t="s">
        <v>27</v>
      </c>
      <c r="J11" s="67" t="s">
        <v>28</v>
      </c>
      <c r="K11" s="68" t="s">
        <v>29</v>
      </c>
      <c r="L11" s="66" t="s">
        <v>30</v>
      </c>
      <c r="M11" s="66" t="s">
        <v>31</v>
      </c>
    </row>
    <row r="12" spans="2:14" ht="18.75" customHeight="1" x14ac:dyDescent="0.35">
      <c r="B12" s="28" t="s">
        <v>32</v>
      </c>
      <c r="C12" s="29">
        <v>60</v>
      </c>
      <c r="D12" s="30"/>
      <c r="F12" s="31"/>
      <c r="G12" s="32">
        <v>2</v>
      </c>
      <c r="I12" s="34"/>
      <c r="J12" s="23"/>
      <c r="K12" s="69"/>
      <c r="L12" s="23"/>
      <c r="M12" s="65"/>
    </row>
    <row r="13" spans="2:14" ht="18.75" customHeight="1" x14ac:dyDescent="0.35">
      <c r="B13" s="28" t="s">
        <v>33</v>
      </c>
      <c r="C13" s="29"/>
      <c r="D13" s="33">
        <v>30</v>
      </c>
      <c r="F13" s="31">
        <v>1</v>
      </c>
      <c r="G13" s="32"/>
      <c r="I13" s="34"/>
      <c r="J13" s="23"/>
      <c r="K13" s="69"/>
      <c r="L13" s="23"/>
      <c r="M13" s="65"/>
    </row>
    <row r="14" spans="2:14" ht="18.75" customHeight="1" x14ac:dyDescent="0.35">
      <c r="B14" s="28" t="s">
        <v>34</v>
      </c>
      <c r="C14" s="29"/>
      <c r="D14" s="30">
        <v>30</v>
      </c>
      <c r="F14" s="31"/>
      <c r="G14" s="32"/>
      <c r="I14" s="34"/>
      <c r="J14" s="23"/>
      <c r="K14" s="69"/>
      <c r="L14" s="23"/>
      <c r="M14" s="65"/>
    </row>
    <row r="15" spans="2:14" ht="18.75" customHeight="1" x14ac:dyDescent="0.35">
      <c r="B15" s="28" t="s">
        <v>35</v>
      </c>
      <c r="C15" s="29"/>
      <c r="D15" s="30">
        <v>20</v>
      </c>
      <c r="F15" s="31">
        <v>1</v>
      </c>
      <c r="G15" s="32">
        <v>1</v>
      </c>
      <c r="I15" s="70">
        <v>0.63</v>
      </c>
      <c r="J15" s="71">
        <f>3600/I15/150000</f>
        <v>3.8095238095238099E-2</v>
      </c>
      <c r="K15" s="72">
        <v>120</v>
      </c>
      <c r="L15" s="73">
        <v>5</v>
      </c>
      <c r="M15" s="74">
        <v>0.64400000000000002</v>
      </c>
    </row>
    <row r="16" spans="2:14" ht="18.75" customHeight="1" x14ac:dyDescent="0.35">
      <c r="B16" s="28" t="s">
        <v>37</v>
      </c>
      <c r="C16" s="29"/>
      <c r="D16" s="30">
        <f>($D$4+0.15)/0.95*60</f>
        <v>25.894736842105299</v>
      </c>
      <c r="F16" s="31">
        <v>1</v>
      </c>
      <c r="G16" s="32"/>
      <c r="I16" s="75"/>
      <c r="J16" s="76"/>
      <c r="K16" s="4"/>
      <c r="L16" s="77"/>
      <c r="M16" s="65"/>
    </row>
    <row r="17" spans="2:13" ht="18.75" customHeight="1" x14ac:dyDescent="0.35">
      <c r="B17" s="28" t="s">
        <v>38</v>
      </c>
      <c r="C17" s="29"/>
      <c r="D17" s="30">
        <v>30</v>
      </c>
      <c r="F17" s="31"/>
      <c r="G17" s="32"/>
      <c r="I17" s="73" t="s">
        <v>39</v>
      </c>
      <c r="J17" s="78">
        <f>SUM(D15:D15)/(MAX(D15:D15)*COUNT(D15:D15))</f>
        <v>1</v>
      </c>
      <c r="K17" s="4"/>
      <c r="L17" s="23"/>
      <c r="M17" s="65"/>
    </row>
    <row r="18" spans="2:13" ht="18.75" customHeight="1" x14ac:dyDescent="0.35">
      <c r="B18" s="28" t="s">
        <v>40</v>
      </c>
      <c r="C18" s="29">
        <v>30</v>
      </c>
      <c r="D18" s="30"/>
      <c r="E18" s="34"/>
      <c r="F18" s="35"/>
      <c r="G18" s="36">
        <v>1</v>
      </c>
      <c r="H18" s="18"/>
      <c r="I18" s="23"/>
      <c r="J18" s="23"/>
      <c r="K18" s="65"/>
    </row>
    <row r="19" spans="2:13" ht="18.75" customHeight="1" x14ac:dyDescent="0.35">
      <c r="B19" s="37" t="s">
        <v>41</v>
      </c>
      <c r="C19" s="120">
        <f>MAX(D12:D18)</f>
        <v>30</v>
      </c>
      <c r="D19" s="120"/>
      <c r="E19" s="38"/>
      <c r="F19" s="31">
        <f>SUM(F12:F18)</f>
        <v>3</v>
      </c>
      <c r="G19" s="39">
        <f>SUM(G12:G18)</f>
        <v>4</v>
      </c>
      <c r="H19" s="40"/>
      <c r="I19" s="23"/>
      <c r="J19" s="23"/>
      <c r="K19" s="65"/>
    </row>
    <row r="20" spans="2:13" ht="18.75" customHeight="1" x14ac:dyDescent="0.35">
      <c r="B20" s="41" t="s">
        <v>4</v>
      </c>
      <c r="C20" s="111">
        <f>C19*G19/$C$4</f>
        <v>15</v>
      </c>
      <c r="D20" s="111"/>
      <c r="E20" s="42"/>
      <c r="G20" s="3"/>
      <c r="H20" s="43"/>
      <c r="J20" s="23"/>
      <c r="K20" s="65"/>
    </row>
    <row r="21" spans="2:13" ht="18.75" customHeight="1" x14ac:dyDescent="0.35">
      <c r="B21" s="44" t="s">
        <v>42</v>
      </c>
      <c r="C21" s="111">
        <f>C19*F19/$C$4</f>
        <v>11.25</v>
      </c>
      <c r="D21" s="111"/>
      <c r="E21" s="42"/>
      <c r="G21" s="3"/>
      <c r="H21" s="43"/>
      <c r="J21" s="23"/>
      <c r="K21" s="65"/>
    </row>
    <row r="22" spans="2:13" ht="18.75" customHeight="1" x14ac:dyDescent="0.35">
      <c r="B22" s="45"/>
      <c r="C22" s="45"/>
      <c r="D22" s="45"/>
      <c r="E22" s="45"/>
      <c r="F22" s="45"/>
      <c r="G22" s="45"/>
      <c r="H22" s="45"/>
      <c r="I22" s="45"/>
      <c r="J22" s="23"/>
      <c r="K22" s="65"/>
    </row>
    <row r="23" spans="2:13" ht="18.75" customHeight="1" x14ac:dyDescent="0.35">
      <c r="B23" s="22" t="s">
        <v>43</v>
      </c>
      <c r="C23" s="19"/>
      <c r="D23" s="19"/>
      <c r="E23" s="19"/>
      <c r="F23" s="23"/>
      <c r="G23" s="24"/>
      <c r="H23" s="24"/>
      <c r="I23" s="23"/>
      <c r="J23" s="23"/>
      <c r="K23" s="65"/>
    </row>
    <row r="24" spans="2:13" ht="31" x14ac:dyDescent="0.3">
      <c r="B24" s="7" t="s">
        <v>22</v>
      </c>
      <c r="C24" s="25" t="s">
        <v>23</v>
      </c>
      <c r="D24" s="25" t="s">
        <v>24</v>
      </c>
      <c r="F24" s="26" t="s">
        <v>25</v>
      </c>
      <c r="G24" s="27" t="s">
        <v>26</v>
      </c>
      <c r="I24" s="66" t="s">
        <v>27</v>
      </c>
      <c r="J24" s="67" t="s">
        <v>28</v>
      </c>
      <c r="K24" s="68" t="s">
        <v>29</v>
      </c>
      <c r="L24" s="66" t="s">
        <v>30</v>
      </c>
      <c r="M24" s="66" t="s">
        <v>31</v>
      </c>
    </row>
    <row r="25" spans="2:13" ht="18.75" customHeight="1" x14ac:dyDescent="0.35">
      <c r="B25" s="28" t="s">
        <v>32</v>
      </c>
      <c r="C25" s="29">
        <v>30</v>
      </c>
      <c r="D25" s="30"/>
      <c r="F25" s="31"/>
      <c r="G25" s="32">
        <v>1</v>
      </c>
      <c r="I25" s="34"/>
      <c r="J25" s="23"/>
      <c r="K25" s="69"/>
      <c r="L25" s="23"/>
      <c r="M25" s="65"/>
    </row>
    <row r="26" spans="2:13" ht="18.75" customHeight="1" x14ac:dyDescent="0.35">
      <c r="B26" s="28" t="s">
        <v>33</v>
      </c>
      <c r="C26" s="29"/>
      <c r="D26" s="33">
        <v>30</v>
      </c>
      <c r="F26" s="31">
        <v>1</v>
      </c>
      <c r="G26" s="32"/>
      <c r="I26" s="34"/>
      <c r="J26" s="23"/>
      <c r="K26" s="69"/>
      <c r="L26" s="23"/>
      <c r="M26" s="65"/>
    </row>
    <row r="27" spans="2:13" ht="18.75" customHeight="1" x14ac:dyDescent="0.35">
      <c r="B27" s="28" t="s">
        <v>34</v>
      </c>
      <c r="C27" s="29"/>
      <c r="D27" s="30">
        <v>30</v>
      </c>
      <c r="F27" s="31">
        <v>1</v>
      </c>
      <c r="G27" s="32"/>
      <c r="I27" s="34"/>
      <c r="J27" s="23"/>
      <c r="K27" s="69"/>
      <c r="L27" s="23"/>
      <c r="M27" s="65"/>
    </row>
    <row r="28" spans="2:13" ht="18.75" customHeight="1" x14ac:dyDescent="0.35">
      <c r="B28" s="28" t="s">
        <v>44</v>
      </c>
      <c r="C28" s="29"/>
      <c r="D28" s="30">
        <v>20</v>
      </c>
      <c r="F28" s="31">
        <v>1</v>
      </c>
      <c r="G28" s="32">
        <v>1</v>
      </c>
      <c r="I28" s="70">
        <v>0.63</v>
      </c>
      <c r="J28" s="71">
        <f>3600/I28/150000</f>
        <v>3.8095238095238099E-2</v>
      </c>
      <c r="K28" s="72">
        <v>160</v>
      </c>
      <c r="L28" s="73">
        <v>5</v>
      </c>
      <c r="M28" s="74">
        <v>0.64400000000000002</v>
      </c>
    </row>
    <row r="29" spans="2:13" ht="18.75" customHeight="1" x14ac:dyDescent="0.35">
      <c r="B29" s="28" t="s">
        <v>37</v>
      </c>
      <c r="C29" s="29"/>
      <c r="D29" s="30">
        <f>($D$4+0.15)/0.95*60</f>
        <v>25.894736842105299</v>
      </c>
      <c r="F29" s="31">
        <v>1</v>
      </c>
      <c r="G29" s="32"/>
      <c r="I29" s="75"/>
      <c r="J29" s="76"/>
      <c r="K29" s="4"/>
      <c r="L29" s="77"/>
      <c r="M29" s="65"/>
    </row>
    <row r="30" spans="2:13" ht="18.75" customHeight="1" x14ac:dyDescent="0.35">
      <c r="B30" s="28" t="s">
        <v>38</v>
      </c>
      <c r="C30" s="29"/>
      <c r="D30" s="30">
        <v>30</v>
      </c>
      <c r="F30" s="31">
        <v>1</v>
      </c>
      <c r="G30" s="32"/>
      <c r="I30" s="73" t="s">
        <v>39</v>
      </c>
      <c r="J30" s="78">
        <f>SUM(D28:D28)/(MAX(D28:D28)*COUNT(D28:D28))</f>
        <v>1</v>
      </c>
      <c r="K30" s="4"/>
      <c r="L30" s="23"/>
      <c r="M30" s="65"/>
    </row>
    <row r="31" spans="2:13" ht="18.75" customHeight="1" x14ac:dyDescent="0.35">
      <c r="B31" s="28" t="s">
        <v>46</v>
      </c>
      <c r="C31" s="29">
        <v>30</v>
      </c>
      <c r="D31" s="30"/>
      <c r="E31" s="34"/>
      <c r="F31" s="35"/>
      <c r="G31" s="36">
        <v>1</v>
      </c>
      <c r="H31" s="18"/>
      <c r="I31" s="23"/>
      <c r="J31" s="23"/>
      <c r="K31" s="65"/>
    </row>
    <row r="32" spans="2:13" ht="18.75" customHeight="1" x14ac:dyDescent="0.35">
      <c r="B32" s="28" t="s">
        <v>40</v>
      </c>
      <c r="C32" s="29">
        <v>30</v>
      </c>
      <c r="D32" s="30"/>
      <c r="E32" s="34"/>
      <c r="F32" s="35"/>
      <c r="G32" s="36">
        <v>1</v>
      </c>
      <c r="H32" s="18"/>
      <c r="I32" s="23"/>
      <c r="J32" s="23"/>
      <c r="K32" s="65"/>
    </row>
    <row r="33" spans="2:15" ht="18.75" customHeight="1" x14ac:dyDescent="0.35">
      <c r="B33" s="37" t="s">
        <v>41</v>
      </c>
      <c r="C33" s="120">
        <f>MAX(D25:D32)</f>
        <v>30</v>
      </c>
      <c r="D33" s="120"/>
      <c r="E33" s="38"/>
      <c r="F33" s="31">
        <f>SUM(F25:F32)</f>
        <v>5</v>
      </c>
      <c r="G33" s="39">
        <f>SUM(G25:G32)</f>
        <v>4</v>
      </c>
      <c r="H33" s="40"/>
      <c r="I33" s="23"/>
      <c r="J33" s="23"/>
      <c r="K33" s="65"/>
    </row>
    <row r="34" spans="2:15" ht="18.75" customHeight="1" x14ac:dyDescent="0.35">
      <c r="B34" s="41" t="s">
        <v>5</v>
      </c>
      <c r="C34" s="111">
        <f>C33*G33/$C$4</f>
        <v>15</v>
      </c>
      <c r="D34" s="111"/>
      <c r="E34" s="42"/>
      <c r="G34" s="3"/>
      <c r="H34" s="43"/>
      <c r="J34" s="23"/>
      <c r="K34" s="65"/>
    </row>
    <row r="35" spans="2:15" ht="18.75" customHeight="1" x14ac:dyDescent="0.35">
      <c r="B35" s="41" t="s">
        <v>42</v>
      </c>
      <c r="C35" s="111">
        <f>C33*F33/$C$4</f>
        <v>18.75</v>
      </c>
      <c r="D35" s="111"/>
      <c r="E35" s="42"/>
      <c r="G35" s="3"/>
      <c r="H35" s="43"/>
      <c r="J35" s="23"/>
      <c r="K35" s="65"/>
    </row>
    <row r="36" spans="2:15" ht="18.75" customHeight="1" x14ac:dyDescent="0.35">
      <c r="B36" s="45"/>
      <c r="C36" s="45"/>
      <c r="D36" s="45"/>
      <c r="E36" s="45"/>
      <c r="F36" s="45"/>
      <c r="G36" s="45"/>
      <c r="H36" s="45"/>
      <c r="I36" s="45"/>
      <c r="J36" s="23"/>
      <c r="K36" s="65"/>
    </row>
    <row r="37" spans="2:15" ht="18.75" customHeight="1" x14ac:dyDescent="0.35">
      <c r="B37" s="22" t="s">
        <v>47</v>
      </c>
      <c r="C37" s="19"/>
      <c r="D37" s="19"/>
      <c r="E37" s="19"/>
      <c r="F37" s="23"/>
      <c r="G37" s="24"/>
      <c r="H37" s="24"/>
      <c r="I37" s="23"/>
      <c r="J37" s="23"/>
      <c r="K37" s="65"/>
    </row>
    <row r="38" spans="2:15" ht="31" x14ac:dyDescent="0.3">
      <c r="B38" s="7" t="s">
        <v>22</v>
      </c>
      <c r="C38" s="25" t="s">
        <v>48</v>
      </c>
      <c r="D38" s="25" t="s">
        <v>49</v>
      </c>
      <c r="F38" s="26" t="s">
        <v>25</v>
      </c>
      <c r="G38" s="27" t="s">
        <v>26</v>
      </c>
      <c r="I38" s="79"/>
      <c r="J38" s="79"/>
      <c r="K38" s="80"/>
      <c r="L38" s="79"/>
      <c r="M38" s="79"/>
    </row>
    <row r="39" spans="2:15" ht="18.75" customHeight="1" x14ac:dyDescent="0.35">
      <c r="B39" s="28" t="s">
        <v>47</v>
      </c>
      <c r="C39" s="29">
        <v>150</v>
      </c>
      <c r="D39" s="30">
        <f>C39*F39/G39</f>
        <v>0</v>
      </c>
      <c r="F39" s="31"/>
      <c r="G39" s="32">
        <v>1</v>
      </c>
      <c r="I39" s="34"/>
      <c r="J39" s="23"/>
      <c r="K39" s="69"/>
      <c r="L39" s="23"/>
      <c r="M39" s="65"/>
      <c r="O39" s="81"/>
    </row>
    <row r="40" spans="2:15" ht="18.75" customHeight="1" x14ac:dyDescent="0.35">
      <c r="B40" s="41" t="s">
        <v>7</v>
      </c>
      <c r="C40" s="111">
        <f>SUM(C39:C39)/$C$4</f>
        <v>18.75</v>
      </c>
      <c r="D40" s="111"/>
      <c r="E40" s="42"/>
      <c r="G40" s="43"/>
      <c r="H40" s="43"/>
      <c r="J40" s="23"/>
      <c r="K40" s="65"/>
    </row>
    <row r="41" spans="2:15" ht="18.75" customHeight="1" x14ac:dyDescent="0.35">
      <c r="B41" s="44" t="s">
        <v>42</v>
      </c>
      <c r="C41" s="111">
        <f>SUM(D39:D39)/$C$4</f>
        <v>0</v>
      </c>
      <c r="D41" s="111"/>
      <c r="E41" s="42"/>
      <c r="G41" s="43"/>
      <c r="H41" s="43"/>
      <c r="J41" s="23"/>
      <c r="K41" s="65"/>
    </row>
    <row r="42" spans="2:15" ht="18.75" customHeight="1" x14ac:dyDescent="0.35">
      <c r="B42" s="45"/>
      <c r="C42" s="45"/>
      <c r="D42" s="45"/>
      <c r="E42" s="45"/>
      <c r="F42" s="45"/>
      <c r="G42" s="45"/>
      <c r="H42" s="45"/>
      <c r="I42" s="45"/>
      <c r="J42" s="23"/>
      <c r="K42" s="65"/>
    </row>
    <row r="43" spans="2:15" s="2" customFormat="1" ht="18.75" customHeight="1" x14ac:dyDescent="0.45">
      <c r="B43" s="46" t="s">
        <v>50</v>
      </c>
      <c r="C43" s="47"/>
      <c r="D43" s="48"/>
      <c r="E43" s="48"/>
      <c r="F43" s="48"/>
      <c r="G43" s="49"/>
      <c r="H43" s="49"/>
      <c r="I43" s="82"/>
      <c r="J43" s="48"/>
      <c r="K43" s="48"/>
      <c r="L43" s="48"/>
    </row>
    <row r="44" spans="2:15" s="2" customFormat="1" ht="37" x14ac:dyDescent="0.3">
      <c r="B44" s="7" t="s">
        <v>22</v>
      </c>
      <c r="C44" s="25" t="s">
        <v>51</v>
      </c>
      <c r="D44" s="25" t="s">
        <v>52</v>
      </c>
      <c r="F44" s="50" t="s">
        <v>25</v>
      </c>
      <c r="G44" s="51" t="s">
        <v>26</v>
      </c>
      <c r="H44" s="52"/>
      <c r="I44" s="83"/>
      <c r="J44" s="84" t="s">
        <v>53</v>
      </c>
      <c r="K44" s="85" t="s">
        <v>54</v>
      </c>
      <c r="L44" s="84" t="s">
        <v>55</v>
      </c>
      <c r="M44" s="84" t="s">
        <v>56</v>
      </c>
      <c r="N44" s="84" t="s">
        <v>57</v>
      </c>
    </row>
    <row r="45" spans="2:15" s="2" customFormat="1" ht="18.75" customHeight="1" x14ac:dyDescent="0.45">
      <c r="B45" s="28" t="s">
        <v>58</v>
      </c>
      <c r="C45" s="29">
        <v>40</v>
      </c>
      <c r="D45" s="29">
        <f>C45/L45</f>
        <v>40</v>
      </c>
      <c r="F45" s="53"/>
      <c r="G45" s="54">
        <f>L45</f>
        <v>1</v>
      </c>
      <c r="H45" s="52"/>
      <c r="I45" s="86" t="s">
        <v>59</v>
      </c>
      <c r="J45" s="87">
        <v>1</v>
      </c>
      <c r="K45" s="88"/>
      <c r="L45" s="89">
        <v>1</v>
      </c>
      <c r="M45" s="90">
        <f>C45/L45</f>
        <v>40</v>
      </c>
      <c r="N45" s="91"/>
    </row>
    <row r="46" spans="2:15" s="2" customFormat="1" ht="18.75" customHeight="1" x14ac:dyDescent="0.45">
      <c r="B46" s="28" t="s">
        <v>60</v>
      </c>
      <c r="C46" s="29">
        <f>K46*8</f>
        <v>128</v>
      </c>
      <c r="D46" s="29">
        <f>C46/L46</f>
        <v>42.6666666666667</v>
      </c>
      <c r="F46" s="53"/>
      <c r="G46" s="54">
        <f>L46</f>
        <v>3</v>
      </c>
      <c r="H46" s="52"/>
      <c r="I46" s="86" t="s">
        <v>59</v>
      </c>
      <c r="J46" s="87">
        <f>ROUNDUP(C46/$C$48,0)</f>
        <v>3</v>
      </c>
      <c r="K46" s="88">
        <v>16</v>
      </c>
      <c r="L46" s="89">
        <f>IF(J46&gt;10,10,J46)</f>
        <v>3</v>
      </c>
      <c r="M46" s="90">
        <f>C46/L46</f>
        <v>42.6666666666667</v>
      </c>
      <c r="N46" s="91">
        <v>1</v>
      </c>
    </row>
    <row r="47" spans="2:15" s="2" customFormat="1" ht="18.75" customHeight="1" x14ac:dyDescent="0.45">
      <c r="B47" s="55" t="s">
        <v>61</v>
      </c>
      <c r="C47" s="29">
        <v>40</v>
      </c>
      <c r="D47" s="29">
        <f>C47/L47</f>
        <v>40</v>
      </c>
      <c r="F47" s="53"/>
      <c r="G47" s="54">
        <f>L47</f>
        <v>1</v>
      </c>
      <c r="H47" s="52"/>
      <c r="I47" s="86" t="s">
        <v>59</v>
      </c>
      <c r="J47" s="87">
        <v>1</v>
      </c>
      <c r="K47" s="88"/>
      <c r="L47" s="89">
        <v>1</v>
      </c>
      <c r="M47" s="90">
        <f>C47/L47</f>
        <v>40</v>
      </c>
      <c r="N47" s="91"/>
    </row>
    <row r="48" spans="2:15" s="2" customFormat="1" ht="18.75" customHeight="1" x14ac:dyDescent="0.45">
      <c r="B48" s="28" t="s">
        <v>62</v>
      </c>
      <c r="C48" s="29">
        <f>IF($D$4&gt;0.3,($D$4+0.3)/0.8*60,(0.3+0.4)/0.8*60)</f>
        <v>52.5</v>
      </c>
      <c r="D48" s="29">
        <f>C48</f>
        <v>52.5</v>
      </c>
      <c r="F48" s="53">
        <v>1</v>
      </c>
      <c r="G48" s="54">
        <f t="shared" ref="G48:G49" si="0">L48</f>
        <v>0</v>
      </c>
      <c r="H48" s="52"/>
      <c r="I48" s="86"/>
      <c r="J48" s="87"/>
      <c r="K48" s="88"/>
      <c r="L48" s="89"/>
      <c r="M48" s="90">
        <f>D48</f>
        <v>52.5</v>
      </c>
      <c r="N48" s="91"/>
    </row>
    <row r="49" spans="2:15" s="2" customFormat="1" ht="18.75" customHeight="1" x14ac:dyDescent="0.45">
      <c r="B49" s="56" t="s">
        <v>63</v>
      </c>
      <c r="C49" s="29">
        <v>40</v>
      </c>
      <c r="D49" s="29">
        <f>C49/G49</f>
        <v>40</v>
      </c>
      <c r="F49" s="53"/>
      <c r="G49" s="54">
        <f t="shared" si="0"/>
        <v>1</v>
      </c>
      <c r="H49" s="52"/>
      <c r="I49" s="86" t="s">
        <v>59</v>
      </c>
      <c r="J49" s="87">
        <f>ROUNDUP(C49/$C$48,0)</f>
        <v>1</v>
      </c>
      <c r="K49" s="88"/>
      <c r="L49" s="89">
        <v>1</v>
      </c>
      <c r="M49" s="90">
        <f>C49/L49</f>
        <v>40</v>
      </c>
      <c r="N49" s="91"/>
    </row>
    <row r="50" spans="2:15" s="2" customFormat="1" ht="18.75" customHeight="1" x14ac:dyDescent="0.45">
      <c r="B50" s="28" t="s">
        <v>64</v>
      </c>
      <c r="C50" s="29">
        <v>40</v>
      </c>
      <c r="D50" s="29">
        <f t="shared" ref="D50:D52" si="1">C50/G50</f>
        <v>40</v>
      </c>
      <c r="F50" s="53"/>
      <c r="G50" s="54">
        <v>1</v>
      </c>
      <c r="H50" s="52"/>
      <c r="I50" s="86" t="s">
        <v>59</v>
      </c>
      <c r="J50" s="87">
        <f>ROUNDUP(C50/$C$48,0)</f>
        <v>1</v>
      </c>
      <c r="K50" s="88"/>
      <c r="L50" s="89">
        <v>1</v>
      </c>
      <c r="M50" s="90">
        <f t="shared" ref="M50:M52" si="2">C50/L50</f>
        <v>40</v>
      </c>
      <c r="N50" s="91"/>
    </row>
    <row r="51" spans="2:15" s="2" customFormat="1" ht="18.75" customHeight="1" x14ac:dyDescent="0.45">
      <c r="B51" s="28" t="s">
        <v>66</v>
      </c>
      <c r="C51" s="29">
        <v>40</v>
      </c>
      <c r="D51" s="29">
        <f t="shared" si="1"/>
        <v>40</v>
      </c>
      <c r="F51" s="53"/>
      <c r="G51" s="54">
        <v>1</v>
      </c>
      <c r="H51" s="52"/>
      <c r="I51" s="86" t="s">
        <v>59</v>
      </c>
      <c r="J51" s="87">
        <f>ROUNDUP(C51/$C$48,0)</f>
        <v>1</v>
      </c>
      <c r="K51" s="88"/>
      <c r="L51" s="89">
        <v>1</v>
      </c>
      <c r="M51" s="90">
        <f t="shared" si="2"/>
        <v>40</v>
      </c>
      <c r="N51" s="91"/>
    </row>
    <row r="52" spans="2:15" s="2" customFormat="1" ht="18.75" customHeight="1" x14ac:dyDescent="0.45">
      <c r="B52" s="28" t="s">
        <v>67</v>
      </c>
      <c r="C52" s="29">
        <v>40</v>
      </c>
      <c r="D52" s="29">
        <f t="shared" si="1"/>
        <v>20</v>
      </c>
      <c r="F52" s="53"/>
      <c r="G52" s="54">
        <v>2</v>
      </c>
      <c r="H52" s="52"/>
      <c r="I52" s="86" t="s">
        <v>59</v>
      </c>
      <c r="J52" s="87">
        <f>ROUNDUP(C52/$C$48,0)</f>
        <v>1</v>
      </c>
      <c r="K52" s="88"/>
      <c r="L52" s="89">
        <v>4</v>
      </c>
      <c r="M52" s="90">
        <f t="shared" si="2"/>
        <v>10</v>
      </c>
      <c r="N52" s="91"/>
    </row>
    <row r="53" spans="2:15" s="2" customFormat="1" ht="18.75" customHeight="1" x14ac:dyDescent="0.45">
      <c r="B53" s="44" t="s">
        <v>93</v>
      </c>
      <c r="C53" s="111"/>
      <c r="D53" s="111"/>
      <c r="E53" s="57"/>
      <c r="F53" s="2">
        <f>SUM(F45:F52)</f>
        <v>1</v>
      </c>
      <c r="G53" s="2">
        <f>SUM(G45:G52)</f>
        <v>10</v>
      </c>
      <c r="H53" s="52"/>
      <c r="I53" s="86" t="s">
        <v>68</v>
      </c>
      <c r="J53" s="87">
        <f>SUM(J45:J52)</f>
        <v>9</v>
      </c>
      <c r="K53" s="88"/>
      <c r="L53" s="92">
        <f>SUM(L45:L52)</f>
        <v>12</v>
      </c>
      <c r="M53" s="93">
        <f>MAX(M45:M52)*L53</f>
        <v>630</v>
      </c>
      <c r="N53" s="89"/>
    </row>
    <row r="54" spans="2:15" s="2" customFormat="1" ht="18.75" customHeight="1" x14ac:dyDescent="0.45">
      <c r="B54" s="58" t="s">
        <v>42</v>
      </c>
      <c r="C54" s="111"/>
      <c r="D54" s="111"/>
      <c r="E54" s="59"/>
      <c r="F54" s="60"/>
      <c r="G54" s="61"/>
      <c r="H54" s="61"/>
      <c r="I54" s="94"/>
      <c r="J54" s="60"/>
      <c r="K54" s="60"/>
      <c r="L54" s="60"/>
    </row>
    <row r="56" spans="2:15" ht="18.75" customHeight="1" x14ac:dyDescent="0.35">
      <c r="B56" s="22" t="s">
        <v>69</v>
      </c>
      <c r="C56" s="19"/>
      <c r="D56" s="19"/>
      <c r="E56" s="19"/>
      <c r="F56" s="23"/>
      <c r="G56" s="24"/>
      <c r="H56" s="24"/>
      <c r="I56" s="23"/>
      <c r="J56" s="23"/>
      <c r="K56" s="65"/>
    </row>
    <row r="57" spans="2:15" ht="31" x14ac:dyDescent="0.3">
      <c r="B57" s="7" t="s">
        <v>22</v>
      </c>
      <c r="C57" s="25" t="s">
        <v>48</v>
      </c>
      <c r="D57" s="25" t="s">
        <v>49</v>
      </c>
      <c r="F57" s="26" t="s">
        <v>25</v>
      </c>
      <c r="G57" s="27" t="s">
        <v>26</v>
      </c>
      <c r="I57" s="79"/>
      <c r="J57" s="79"/>
      <c r="K57" s="80"/>
      <c r="L57" s="79"/>
      <c r="M57" s="79"/>
    </row>
    <row r="58" spans="2:15" ht="18.75" customHeight="1" x14ac:dyDescent="0.35">
      <c r="B58" s="28" t="s">
        <v>69</v>
      </c>
      <c r="C58" s="29">
        <v>0</v>
      </c>
      <c r="D58" s="30">
        <f>C58*F58</f>
        <v>0</v>
      </c>
      <c r="F58" s="31">
        <v>1</v>
      </c>
      <c r="G58" s="32">
        <v>1</v>
      </c>
      <c r="I58" s="34"/>
      <c r="J58" s="23"/>
      <c r="K58" s="69"/>
      <c r="L58" s="23"/>
      <c r="M58" s="65"/>
      <c r="O58" s="81"/>
    </row>
    <row r="59" spans="2:15" ht="18.75" customHeight="1" x14ac:dyDescent="0.35">
      <c r="B59" s="41" t="s">
        <v>8</v>
      </c>
      <c r="C59" s="111">
        <f>SUM(C58:C58)*G58/$C$4</f>
        <v>0</v>
      </c>
      <c r="D59" s="111"/>
      <c r="E59" s="42"/>
      <c r="G59" s="43"/>
      <c r="H59" s="43"/>
      <c r="J59" s="23"/>
      <c r="K59" s="65"/>
    </row>
    <row r="60" spans="2:15" ht="18.75" customHeight="1" x14ac:dyDescent="0.35">
      <c r="B60" s="44" t="s">
        <v>42</v>
      </c>
      <c r="C60" s="111">
        <f>SUM(D58:D58)/$C$4</f>
        <v>0</v>
      </c>
      <c r="D60" s="111"/>
      <c r="E60" s="42"/>
      <c r="G60" s="43"/>
      <c r="H60" s="43"/>
      <c r="J60" s="23"/>
      <c r="K60" s="65"/>
    </row>
    <row r="61" spans="2:15" ht="18.75" customHeight="1" x14ac:dyDescent="0.35">
      <c r="B61" s="45"/>
      <c r="C61" s="45"/>
      <c r="D61" s="45"/>
      <c r="E61" s="45"/>
      <c r="F61" s="45"/>
      <c r="G61" s="45"/>
      <c r="H61" s="45"/>
      <c r="I61" s="45"/>
      <c r="J61" s="23"/>
      <c r="K61" s="65"/>
    </row>
    <row r="62" spans="2:15" ht="18.75" customHeight="1" x14ac:dyDescent="0.4">
      <c r="B62" s="62" t="s">
        <v>70</v>
      </c>
      <c r="C62" s="19"/>
      <c r="D62" s="19"/>
      <c r="E62" s="19"/>
      <c r="F62" s="23"/>
      <c r="G62" s="24"/>
      <c r="H62" s="24"/>
      <c r="I62" s="23"/>
      <c r="J62" s="23"/>
      <c r="K62" s="65"/>
    </row>
    <row r="63" spans="2:15" ht="31" x14ac:dyDescent="0.3">
      <c r="B63" s="7" t="s">
        <v>22</v>
      </c>
      <c r="C63" s="25" t="s">
        <v>48</v>
      </c>
      <c r="D63" s="25" t="s">
        <v>49</v>
      </c>
      <c r="F63" s="26" t="s">
        <v>25</v>
      </c>
      <c r="G63" s="27" t="s">
        <v>26</v>
      </c>
      <c r="I63" s="79"/>
      <c r="J63" s="79"/>
      <c r="K63" s="80"/>
      <c r="L63" s="79"/>
      <c r="M63" s="79"/>
    </row>
    <row r="64" spans="2:15" ht="18.75" customHeight="1" x14ac:dyDescent="0.35">
      <c r="B64" s="55" t="s">
        <v>70</v>
      </c>
      <c r="C64" s="29">
        <v>0</v>
      </c>
      <c r="D64" s="30">
        <f>C64*F64</f>
        <v>0</v>
      </c>
      <c r="F64" s="31"/>
      <c r="G64" s="32">
        <v>1</v>
      </c>
      <c r="I64" s="34"/>
      <c r="J64" s="23"/>
      <c r="K64" s="69"/>
      <c r="L64" s="23"/>
      <c r="M64" s="65"/>
      <c r="O64" s="81"/>
    </row>
    <row r="65" spans="2:14" ht="18.75" customHeight="1" x14ac:dyDescent="0.35">
      <c r="B65" s="41" t="s">
        <v>9</v>
      </c>
      <c r="C65" s="111">
        <f>SUM(C64:C64)*G64</f>
        <v>0</v>
      </c>
      <c r="D65" s="111"/>
      <c r="E65" s="42"/>
      <c r="G65" s="43"/>
      <c r="H65" s="43"/>
      <c r="J65" s="23"/>
      <c r="K65" s="65"/>
    </row>
    <row r="66" spans="2:14" ht="18.75" customHeight="1" x14ac:dyDescent="0.35">
      <c r="B66" s="44" t="s">
        <v>42</v>
      </c>
      <c r="C66" s="111">
        <f>SUM(D64:D64)/$C$4</f>
        <v>0</v>
      </c>
      <c r="D66" s="111"/>
      <c r="E66" s="42"/>
      <c r="G66" s="43"/>
      <c r="H66" s="43"/>
      <c r="J66" s="23"/>
      <c r="K66" s="65"/>
    </row>
    <row r="67" spans="2:14" ht="18.75" customHeight="1" x14ac:dyDescent="0.35">
      <c r="B67" s="45"/>
      <c r="C67" s="45"/>
      <c r="D67" s="45"/>
      <c r="E67" s="45"/>
      <c r="F67" s="45"/>
      <c r="G67" s="45"/>
      <c r="H67" s="45"/>
      <c r="I67" s="45"/>
      <c r="J67" s="23"/>
      <c r="K67" s="65"/>
    </row>
    <row r="68" spans="2:14" x14ac:dyDescent="0.35">
      <c r="B68" s="95" t="s">
        <v>71</v>
      </c>
      <c r="C68" s="96"/>
      <c r="D68" s="96"/>
      <c r="E68" s="96"/>
      <c r="F68" s="97"/>
      <c r="G68" s="98"/>
      <c r="H68" s="99"/>
      <c r="I68" s="99"/>
      <c r="J68" s="99"/>
      <c r="K68" s="99"/>
      <c r="L68" s="99"/>
      <c r="M68" s="99"/>
      <c r="N68" s="99"/>
    </row>
    <row r="69" spans="2:14" ht="31" x14ac:dyDescent="0.35">
      <c r="B69" s="7" t="s">
        <v>22</v>
      </c>
      <c r="C69" s="25" t="s">
        <v>48</v>
      </c>
      <c r="D69" s="25" t="s">
        <v>49</v>
      </c>
      <c r="E69" s="100"/>
      <c r="F69" s="26" t="s">
        <v>25</v>
      </c>
      <c r="G69" s="27" t="s">
        <v>26</v>
      </c>
      <c r="H69" s="99"/>
      <c r="I69" s="99"/>
      <c r="J69" s="99"/>
      <c r="K69" s="99"/>
      <c r="L69" s="99"/>
      <c r="M69" s="99"/>
      <c r="N69" s="99"/>
    </row>
    <row r="70" spans="2:14" ht="20.25" customHeight="1" x14ac:dyDescent="0.35">
      <c r="B70" s="101" t="s">
        <v>2</v>
      </c>
      <c r="C70" s="102">
        <v>30</v>
      </c>
      <c r="D70" s="103">
        <f>C70*F70</f>
        <v>30</v>
      </c>
      <c r="E70" s="100"/>
      <c r="F70" s="104">
        <v>1</v>
      </c>
      <c r="G70" s="105">
        <v>1</v>
      </c>
      <c r="H70" s="99"/>
      <c r="I70" s="99"/>
      <c r="J70" s="99"/>
      <c r="K70" s="99"/>
      <c r="L70" s="99"/>
      <c r="M70" s="99"/>
      <c r="N70" s="99"/>
    </row>
    <row r="71" spans="2:14" ht="20.25" customHeight="1" x14ac:dyDescent="0.35">
      <c r="B71" s="106" t="s">
        <v>72</v>
      </c>
      <c r="C71" s="102"/>
      <c r="D71" s="103"/>
      <c r="E71" s="100"/>
      <c r="F71" s="104"/>
      <c r="G71" s="105">
        <v>1</v>
      </c>
      <c r="H71" s="99"/>
      <c r="I71" s="99"/>
      <c r="J71" s="99"/>
      <c r="K71" s="99"/>
      <c r="L71" s="99"/>
      <c r="M71" s="99"/>
      <c r="N71" s="99"/>
    </row>
    <row r="72" spans="2:14" ht="20.25" customHeight="1" x14ac:dyDescent="0.35">
      <c r="B72" s="106" t="s">
        <v>11</v>
      </c>
      <c r="C72" s="102"/>
      <c r="D72" s="103"/>
      <c r="E72" s="100"/>
      <c r="F72" s="104"/>
      <c r="G72" s="105"/>
      <c r="H72" s="99"/>
      <c r="I72" s="99"/>
      <c r="J72" s="99"/>
      <c r="K72" s="99"/>
      <c r="L72" s="99"/>
      <c r="M72" s="99"/>
      <c r="N72" s="99"/>
    </row>
    <row r="73" spans="2:14" ht="20.25" customHeight="1" x14ac:dyDescent="0.35">
      <c r="B73" s="106" t="s">
        <v>73</v>
      </c>
      <c r="C73" s="102">
        <f>D73*G73/F73</f>
        <v>20</v>
      </c>
      <c r="D73" s="102">
        <v>10</v>
      </c>
      <c r="E73" s="100"/>
      <c r="F73" s="104">
        <v>1</v>
      </c>
      <c r="G73" s="105">
        <v>2</v>
      </c>
      <c r="H73" s="99"/>
      <c r="I73" s="99"/>
      <c r="J73" s="99"/>
      <c r="K73" s="99"/>
      <c r="L73" s="99"/>
      <c r="M73" s="99"/>
      <c r="N73" s="99"/>
    </row>
    <row r="74" spans="2:14" ht="20.25" customHeight="1" x14ac:dyDescent="0.35">
      <c r="B74" s="106" t="s">
        <v>74</v>
      </c>
      <c r="C74" s="102">
        <f>D73*G74/F73</f>
        <v>20</v>
      </c>
      <c r="D74" s="103"/>
      <c r="E74" s="100"/>
      <c r="F74" s="104"/>
      <c r="G74" s="105">
        <v>2</v>
      </c>
      <c r="H74" s="99"/>
      <c r="I74" s="99"/>
      <c r="J74" s="99"/>
      <c r="K74" s="99"/>
      <c r="L74" s="99"/>
      <c r="M74" s="99"/>
      <c r="N74" s="99"/>
    </row>
    <row r="75" spans="2:14" ht="20.25" customHeight="1" x14ac:dyDescent="0.35">
      <c r="B75" s="106" t="s">
        <v>75</v>
      </c>
      <c r="C75" s="102">
        <f>D73*G75/F73</f>
        <v>20</v>
      </c>
      <c r="D75" s="103"/>
      <c r="E75" s="100"/>
      <c r="F75" s="104"/>
      <c r="G75" s="105">
        <v>2</v>
      </c>
      <c r="H75" s="99"/>
      <c r="I75" s="99"/>
      <c r="J75" s="99"/>
      <c r="K75" s="99"/>
      <c r="L75" s="99"/>
      <c r="M75" s="99"/>
      <c r="N75" s="99"/>
    </row>
    <row r="76" spans="2:14" ht="20.25" customHeight="1" x14ac:dyDescent="0.35">
      <c r="B76" s="41" t="s">
        <v>10</v>
      </c>
      <c r="C76" s="112">
        <f>SUM(C70:C75)</f>
        <v>90</v>
      </c>
      <c r="D76" s="113"/>
      <c r="E76" s="107"/>
      <c r="F76" s="100"/>
      <c r="G76" s="108"/>
      <c r="H76" s="99"/>
      <c r="I76" s="99"/>
      <c r="J76" s="99"/>
      <c r="K76" s="99"/>
      <c r="L76" s="99"/>
      <c r="M76" s="99"/>
      <c r="N76" s="99"/>
    </row>
    <row r="77" spans="2:14" ht="20.25" customHeight="1" x14ac:dyDescent="0.35">
      <c r="B77" s="109" t="s">
        <v>42</v>
      </c>
      <c r="C77" s="112">
        <f>SUM(D70:D75)</f>
        <v>40</v>
      </c>
      <c r="D77" s="113"/>
      <c r="E77" s="107"/>
      <c r="F77" s="100"/>
      <c r="G77" s="108"/>
      <c r="H77" s="99"/>
      <c r="I77" s="99"/>
      <c r="J77" s="99"/>
      <c r="K77" s="99"/>
      <c r="L77" s="99"/>
      <c r="M77" s="99"/>
      <c r="N77" s="99"/>
    </row>
  </sheetData>
  <mergeCells count="22">
    <mergeCell ref="C41:D41"/>
    <mergeCell ref="B1:F1"/>
    <mergeCell ref="C2:F2"/>
    <mergeCell ref="C19:D19"/>
    <mergeCell ref="C20:D20"/>
    <mergeCell ref="C21:D21"/>
    <mergeCell ref="C66:D66"/>
    <mergeCell ref="C76:D76"/>
    <mergeCell ref="C77:D77"/>
    <mergeCell ref="B3:B4"/>
    <mergeCell ref="C4:C5"/>
    <mergeCell ref="D4:D5"/>
    <mergeCell ref="B8:G9"/>
    <mergeCell ref="C53:D53"/>
    <mergeCell ref="C54:D54"/>
    <mergeCell ref="C59:D59"/>
    <mergeCell ref="C60:D60"/>
    <mergeCell ref="C65:D65"/>
    <mergeCell ref="C33:D33"/>
    <mergeCell ref="C34:D34"/>
    <mergeCell ref="C35:D35"/>
    <mergeCell ref="C40:D40"/>
  </mergeCells>
  <phoneticPr fontId="3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12</vt:lpstr>
      <vt:lpstr>8</vt:lpstr>
      <vt:lpstr>9</vt:lpstr>
      <vt:lpstr>10</vt:lpstr>
      <vt:lpstr>11</vt:lpstr>
      <vt:lpstr>13</vt:lpstr>
      <vt:lpstr>14</vt:lpstr>
      <vt:lpstr>15</vt:lpstr>
      <vt:lpstr>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001037-许朋采</dc:creator>
  <cp:lastModifiedBy>005017-潘有含</cp:lastModifiedBy>
  <dcterms:created xsi:type="dcterms:W3CDTF">2015-06-05T18:19:00Z</dcterms:created>
  <dcterms:modified xsi:type="dcterms:W3CDTF">2025-12-09T02:30:47Z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1CE8AE3E6A764EE9B2BB9168FE96D327_12</vt:lpwstr>
  </property>
  <property fmtid="{D5CDD505-2E9C-101B-9397-08002B2CF9AE}" pid="3" name="KSOProductBuildVer">
    <vt:lpwstr>2052-12.1.0.21915</vt:lpwstr>
  </property>
</Properties>
</file>