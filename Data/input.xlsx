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pythonProject\Quotation\Data\"/>
    </mc:Choice>
  </mc:AlternateContent>
  <xr:revisionPtr revIDLastSave="0" documentId="13_ncr:1_{8EBFC4A3-F8F3-4D09-9685-4F613EF3B237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W12" i="1" l="1"/>
  <c r="U12" i="1"/>
  <c r="S12" i="1"/>
  <c r="L12" i="1"/>
  <c r="J12" i="1"/>
  <c r="I12" i="1"/>
  <c r="H12" i="1"/>
  <c r="G12" i="1"/>
  <c r="W11" i="1"/>
  <c r="U11" i="1"/>
  <c r="S11" i="1"/>
  <c r="L11" i="1"/>
  <c r="J11" i="1"/>
  <c r="I11" i="1"/>
  <c r="H11" i="1"/>
  <c r="G11" i="1"/>
  <c r="W10" i="1"/>
  <c r="U10" i="1"/>
  <c r="S10" i="1"/>
  <c r="L10" i="1"/>
  <c r="J10" i="1"/>
  <c r="N10" i="1" s="1"/>
  <c r="P10" i="1" s="1"/>
  <c r="I10" i="1"/>
  <c r="H10" i="1"/>
  <c r="G10" i="1"/>
  <c r="W9" i="1"/>
  <c r="U9" i="1"/>
  <c r="S9" i="1"/>
  <c r="L9" i="1"/>
  <c r="J9" i="1"/>
  <c r="I9" i="1"/>
  <c r="H9" i="1"/>
  <c r="G9" i="1"/>
  <c r="W8" i="1"/>
  <c r="U8" i="1"/>
  <c r="S8" i="1"/>
  <c r="L8" i="1"/>
  <c r="J8" i="1"/>
  <c r="N8" i="1" s="1"/>
  <c r="P8" i="1" s="1"/>
  <c r="I8" i="1"/>
  <c r="H8" i="1"/>
  <c r="G8" i="1"/>
  <c r="V7" i="1"/>
  <c r="W7" i="1" s="1"/>
  <c r="U7" i="1"/>
  <c r="S7" i="1"/>
  <c r="L7" i="1"/>
  <c r="J7" i="1"/>
  <c r="I7" i="1"/>
  <c r="H7" i="1"/>
  <c r="G7" i="1"/>
  <c r="N7" i="1" s="1"/>
  <c r="P7" i="1" s="1"/>
  <c r="W6" i="1"/>
  <c r="U6" i="1"/>
  <c r="S6" i="1"/>
  <c r="L6" i="1"/>
  <c r="J6" i="1"/>
  <c r="I6" i="1"/>
  <c r="H6" i="1"/>
  <c r="G6" i="1"/>
  <c r="W5" i="1"/>
  <c r="U5" i="1"/>
  <c r="S5" i="1"/>
  <c r="L5" i="1"/>
  <c r="J5" i="1"/>
  <c r="I5" i="1"/>
  <c r="H5" i="1"/>
  <c r="G5" i="1"/>
  <c r="N5" i="1" s="1"/>
  <c r="P5" i="1" s="1"/>
  <c r="W4" i="1"/>
  <c r="U4" i="1"/>
  <c r="S4" i="1"/>
  <c r="L4" i="1"/>
  <c r="J4" i="1"/>
  <c r="I4" i="1"/>
  <c r="H4" i="1"/>
  <c r="G4" i="1"/>
  <c r="W3" i="1"/>
  <c r="U3" i="1"/>
  <c r="S3" i="1"/>
  <c r="L3" i="1"/>
  <c r="J3" i="1"/>
  <c r="I3" i="1"/>
  <c r="H3" i="1"/>
  <c r="G3" i="1"/>
  <c r="N3" i="1" s="1"/>
  <c r="P3" i="1" s="1"/>
  <c r="N11" i="1" l="1"/>
  <c r="P11" i="1" s="1"/>
  <c r="N6" i="1"/>
  <c r="P6" i="1" s="1"/>
  <c r="N9" i="1"/>
  <c r="P9" i="1" s="1"/>
  <c r="N4" i="1"/>
  <c r="P4" i="1" s="1"/>
  <c r="N12" i="1"/>
  <c r="P12" i="1" s="1"/>
  <c r="Y10" i="1"/>
  <c r="X10" i="1"/>
  <c r="T10" i="1"/>
  <c r="Y3" i="1"/>
  <c r="T3" i="1"/>
  <c r="X3" i="1"/>
  <c r="Y8" i="1"/>
  <c r="X8" i="1"/>
  <c r="T8" i="1"/>
  <c r="Y9" i="1"/>
  <c r="X9" i="1"/>
  <c r="T9" i="1"/>
  <c r="Y11" i="1"/>
  <c r="X11" i="1"/>
  <c r="T11" i="1"/>
  <c r="Y6" i="1"/>
  <c r="X6" i="1"/>
  <c r="T6" i="1"/>
  <c r="Y12" i="1"/>
  <c r="X12" i="1"/>
  <c r="T12" i="1"/>
  <c r="Y4" i="1"/>
  <c r="X4" i="1"/>
  <c r="T4" i="1"/>
  <c r="Y5" i="1"/>
  <c r="X5" i="1"/>
  <c r="T5" i="1"/>
  <c r="Y7" i="1"/>
  <c r="X7" i="1"/>
  <c r="T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000019</author>
  </authors>
  <commentList>
    <comment ref="G12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000019:
B/T 同时打件</t>
        </r>
      </text>
    </comment>
  </commentList>
</comments>
</file>

<file path=xl/sharedStrings.xml><?xml version="1.0" encoding="utf-8"?>
<sst xmlns="http://schemas.openxmlformats.org/spreadsheetml/2006/main" count="58" uniqueCount="57">
  <si>
    <t>Testing</t>
  </si>
  <si>
    <t>日期</t>
  </si>
  <si>
    <t>FG#</t>
  </si>
  <si>
    <t>Program Name</t>
  </si>
  <si>
    <t>Size (mm) Single</t>
  </si>
  <si>
    <t>Pcs/Panel</t>
  </si>
  <si>
    <t>Monthly FCST</t>
  </si>
  <si>
    <t>SMT Working Time (s)</t>
  </si>
  <si>
    <t>ASM Working Time (s)</t>
  </si>
  <si>
    <t>Routing/Pressfit Working Time (s)</t>
  </si>
  <si>
    <t>Packing Working Time (s)</t>
  </si>
  <si>
    <t>ICT Testing Time (s)</t>
  </si>
  <si>
    <t>FCT Testing Time (s)</t>
  </si>
  <si>
    <t>Handling</t>
  </si>
  <si>
    <t>Total Time (s) -DL</t>
  </si>
  <si>
    <t>U/P (US$) -DL (hr)</t>
  </si>
  <si>
    <t>Total DL Cost (US$)</t>
  </si>
  <si>
    <t>Total Time (s) -OH</t>
  </si>
  <si>
    <t>U/P (US$) -OH (hr)</t>
  </si>
  <si>
    <t>Total OH Cost (US$)</t>
  </si>
  <si>
    <t>DL &amp; OH (US$)</t>
  </si>
  <si>
    <t>BOM</t>
  </si>
  <si>
    <t>Loss
Duty/Manufacture</t>
  </si>
  <si>
    <t>OHLH</t>
  </si>
  <si>
    <t>SG&amp;A</t>
  </si>
  <si>
    <t>MVA</t>
  </si>
  <si>
    <t>零件数</t>
  </si>
  <si>
    <t>6708-001560-10</t>
  </si>
  <si>
    <t>R1E6-1E8-2MC6-L-U2 A02</t>
  </si>
  <si>
    <t>222.22*74.05*1.57</t>
  </si>
  <si>
    <t>6708-000851-10/11</t>
  </si>
  <si>
    <t>Nanhai BD12G02-SAS-U2 C01</t>
  </si>
  <si>
    <t>74.7*36.2*2.4</t>
  </si>
  <si>
    <t>6708-000770-03</t>
  </si>
  <si>
    <t>BD32G24-8639-U2-EXP_REVC01</t>
  </si>
  <si>
    <t>326.41*271.32*1.57</t>
  </si>
  <si>
    <t>6708-000771-03</t>
  </si>
  <si>
    <t>BD32G24-8639-U2_REVC01</t>
  </si>
  <si>
    <t>412.61*77.24*2.4</t>
  </si>
  <si>
    <t>6708-000780</t>
  </si>
  <si>
    <t>52DC16</t>
  </si>
  <si>
    <t>369.6*337*2.36</t>
  </si>
  <si>
    <t>6708-000782-00</t>
  </si>
  <si>
    <t>BPC2000-2-U2-B RevA01</t>
  </si>
  <si>
    <t>80*76.5*2.3</t>
  </si>
  <si>
    <t>6708-000783-02</t>
  </si>
  <si>
    <t>BD32G02-8639</t>
  </si>
  <si>
    <t>74.71*35.0*2.4</t>
  </si>
  <si>
    <t>6708-001801-10/11</t>
  </si>
  <si>
    <t>LIAOHE_BPC3200-2-U2-B RevB01_MPS SKU</t>
  </si>
  <si>
    <t>437*228.40*2.36</t>
  </si>
  <si>
    <t>6708-001802-10/11</t>
  </si>
  <si>
    <t>LIAOHE_BF06-U2-F_BP_RevB01_MPS SKU</t>
  </si>
  <si>
    <t>426*90*1.6</t>
  </si>
  <si>
    <t>6708-001021-21</t>
  </si>
  <si>
    <t>Qiandaohu_22DC4_3350_REV.B01 New wafer</t>
  </si>
  <si>
    <t>243.84*304.8*1.6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</si>
</sst>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0_);[Red]\(0\)"/>
    <numFmt numFmtId="177" formatCode="#,##0.00_);[Red]\(#,##0.00\)"/>
    <numFmt numFmtId="178" formatCode="yyyymmdd"/>
    <numFmt numFmtId="179" formatCode="#,##0.0_);[Red]\(#,##0.0\)"/>
    <numFmt numFmtId="180" formatCode="#,##0_);[Red]\(#,##0\)"/>
    <numFmt numFmtId="181" formatCode="#,##0.00_ "/>
    <numFmt numFmtId="182" formatCode="_ * #,##0_ ;_ * \-#,##0_ ;_ * &quot;-&quot;??_ ;_ @_ "/>
    <numFmt numFmtId="183" formatCode="0.00_);[Red]\(0.00\)"/>
    <numFmt numFmtId="184" formatCode="0.00_ "/>
  </numFmts>
  <fonts count="2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Calibri"/>
      <family val="2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2"/>
      <name val="宋体"/>
      <family val="3"/>
      <charset val="134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宋体"/>
      <family val="3"/>
      <charset val="134"/>
      <scheme val="minor"/>
    </font>
    <font>
      <sz val="10"/>
      <color rgb="FF0000E1"/>
      <name val="Calibri"/>
      <family val="2"/>
    </font>
    <font>
      <sz val="12"/>
      <name val="新細明體"/>
      <charset val="136"/>
    </font>
    <font>
      <sz val="10"/>
      <color rgb="FF000000"/>
      <name val="Calibri"/>
      <family val="2"/>
    </font>
    <font>
      <sz val="10"/>
      <color rgb="FF0000CC"/>
      <name val="Calibri"/>
      <family val="2"/>
    </font>
    <font>
      <sz val="10"/>
      <color rgb="FF0003C0"/>
      <name val="Calibri"/>
      <family val="2"/>
    </font>
    <font>
      <b/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43" fontId="1" fillId="0" borderId="0">
      <alignment vertical="center"/>
    </xf>
    <xf numFmtId="0" fontId="2" fillId="0" borderId="0">
      <alignment vertical="center"/>
    </xf>
    <xf numFmtId="0" fontId="9" fillId="0" borderId="0"/>
    <xf numFmtId="43" fontId="15" fillId="0" borderId="0">
      <alignment vertical="center"/>
    </xf>
    <xf numFmtId="0" fontId="17" fillId="0" borderId="0"/>
    <xf numFmtId="0" fontId="17" fillId="0" borderId="0">
      <alignment vertical="center"/>
    </xf>
    <xf numFmtId="0" fontId="15" fillId="0" borderId="0">
      <alignment vertical="center"/>
    </xf>
  </cellStyleXfs>
  <cellXfs count="72">
    <xf numFmtId="0" fontId="0" fillId="0" borderId="0" xfId="0"/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9" fontId="3" fillId="0" borderId="0" xfId="2" applyNumberFormat="1" applyFont="1" applyAlignment="1">
      <alignment horizontal="left" vertical="center"/>
    </xf>
    <xf numFmtId="9" fontId="6" fillId="0" borderId="0" xfId="2" applyNumberFormat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10" fontId="3" fillId="0" borderId="0" xfId="2" applyNumberFormat="1" applyFont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10" fillId="0" borderId="1" xfId="3" applyFont="1" applyBorder="1" applyAlignment="1">
      <alignment horizontal="left" vertical="center" wrapText="1"/>
    </xf>
    <xf numFmtId="0" fontId="11" fillId="0" borderId="1" xfId="3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0" fontId="11" fillId="0" borderId="1" xfId="3" applyFont="1" applyBorder="1" applyAlignment="1">
      <alignment horizontal="left" vertical="center" wrapText="1"/>
    </xf>
    <xf numFmtId="0" fontId="11" fillId="2" borderId="1" xfId="2" applyFont="1" applyFill="1" applyBorder="1" applyAlignment="1">
      <alignment horizontal="left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1" xfId="3" applyFont="1" applyBorder="1" applyAlignment="1">
      <alignment horizontal="center" vertical="center"/>
    </xf>
    <xf numFmtId="0" fontId="14" fillId="0" borderId="1" xfId="4" applyNumberFormat="1" applyFont="1" applyBorder="1" applyAlignment="1">
      <alignment horizontal="left" vertical="center"/>
    </xf>
    <xf numFmtId="38" fontId="14" fillId="0" borderId="1" xfId="3" applyNumberFormat="1" applyFont="1" applyBorder="1" applyAlignment="1">
      <alignment horizontal="left" vertical="center"/>
    </xf>
    <xf numFmtId="0" fontId="13" fillId="0" borderId="1" xfId="2" applyFont="1" applyBorder="1" applyAlignment="1">
      <alignment horizontal="left" vertical="center"/>
    </xf>
    <xf numFmtId="0" fontId="14" fillId="0" borderId="0" xfId="0" applyFont="1"/>
    <xf numFmtId="38" fontId="14" fillId="0" borderId="1" xfId="3" applyNumberFormat="1" applyFont="1" applyBorder="1" applyAlignment="1">
      <alignment horizontal="center" vertical="center"/>
    </xf>
    <xf numFmtId="38" fontId="14" fillId="0" borderId="1" xfId="3" applyNumberFormat="1" applyFont="1" applyBorder="1" applyAlignment="1">
      <alignment horizontal="left"/>
    </xf>
    <xf numFmtId="0" fontId="6" fillId="0" borderId="0" xfId="0" applyFont="1"/>
    <xf numFmtId="0" fontId="13" fillId="0" borderId="1" xfId="5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4" fillId="0" borderId="1" xfId="6" applyFont="1" applyBorder="1" applyAlignment="1">
      <alignment horizontal="left" vertical="center"/>
    </xf>
    <xf numFmtId="0" fontId="14" fillId="0" borderId="1" xfId="3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2" fontId="14" fillId="0" borderId="1" xfId="0" applyNumberFormat="1" applyFont="1" applyBorder="1" applyAlignment="1">
      <alignment horizontal="left" vertical="center"/>
    </xf>
    <xf numFmtId="0" fontId="14" fillId="0" borderId="1" xfId="2" applyFont="1" applyBorder="1" applyAlignment="1">
      <alignment horizontal="left" vertical="center"/>
    </xf>
    <xf numFmtId="0" fontId="18" fillId="0" borderId="1" xfId="7" applyFont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4" fillId="5" borderId="1" xfId="6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4" fontId="19" fillId="0" borderId="1" xfId="5" applyNumberFormat="1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left" vertical="center"/>
    </xf>
    <xf numFmtId="176" fontId="8" fillId="0" borderId="0" xfId="2" applyNumberFormat="1" applyFont="1" applyAlignment="1">
      <alignment horizontal="center" vertical="center"/>
    </xf>
    <xf numFmtId="177" fontId="11" fillId="0" borderId="1" xfId="2" applyNumberFormat="1" applyFont="1" applyBorder="1" applyAlignment="1">
      <alignment horizontal="left" vertical="center" wrapText="1"/>
    </xf>
    <xf numFmtId="177" fontId="11" fillId="3" borderId="1" xfId="2" applyNumberFormat="1" applyFont="1" applyFill="1" applyBorder="1" applyAlignment="1">
      <alignment horizontal="left" vertical="center" wrapText="1"/>
    </xf>
    <xf numFmtId="178" fontId="13" fillId="0" borderId="1" xfId="0" applyNumberFormat="1" applyFont="1" applyBorder="1" applyAlignment="1">
      <alignment horizontal="left" vertical="center"/>
    </xf>
    <xf numFmtId="179" fontId="14" fillId="0" borderId="1" xfId="2" applyNumberFormat="1" applyFont="1" applyBorder="1" applyAlignment="1">
      <alignment horizontal="left" vertical="center"/>
    </xf>
    <xf numFmtId="180" fontId="14" fillId="0" borderId="1" xfId="2" applyNumberFormat="1" applyFont="1" applyBorder="1" applyAlignment="1">
      <alignment horizontal="left" vertical="center"/>
    </xf>
    <xf numFmtId="177" fontId="14" fillId="0" borderId="1" xfId="2" applyNumberFormat="1" applyFont="1" applyBorder="1" applyAlignment="1">
      <alignment horizontal="left" vertical="center"/>
    </xf>
    <xf numFmtId="177" fontId="14" fillId="2" borderId="1" xfId="2" applyNumberFormat="1" applyFont="1" applyFill="1" applyBorder="1" applyAlignment="1">
      <alignment horizontal="left" vertical="center"/>
    </xf>
    <xf numFmtId="177" fontId="14" fillId="3" borderId="1" xfId="2" applyNumberFormat="1" applyFont="1" applyFill="1" applyBorder="1" applyAlignment="1">
      <alignment horizontal="left" vertical="center"/>
    </xf>
    <xf numFmtId="177" fontId="13" fillId="0" borderId="1" xfId="2" applyNumberFormat="1" applyFont="1" applyBorder="1" applyAlignment="1">
      <alignment horizontal="left" vertical="center"/>
    </xf>
    <xf numFmtId="181" fontId="13" fillId="0" borderId="1" xfId="2" applyNumberFormat="1" applyFont="1" applyBorder="1" applyAlignment="1">
      <alignment horizontal="left" vertical="center"/>
    </xf>
    <xf numFmtId="177" fontId="13" fillId="2" borderId="1" xfId="2" applyNumberFormat="1" applyFont="1" applyFill="1" applyBorder="1" applyAlignment="1">
      <alignment horizontal="left" vertical="center"/>
    </xf>
    <xf numFmtId="182" fontId="14" fillId="0" borderId="1" xfId="4" applyNumberFormat="1" applyFont="1" applyBorder="1" applyAlignment="1">
      <alignment vertical="center"/>
    </xf>
    <xf numFmtId="176" fontId="14" fillId="0" borderId="1" xfId="1" applyNumberFormat="1" applyFont="1" applyBorder="1" applyAlignment="1">
      <alignment horizontal="left" vertical="center"/>
    </xf>
    <xf numFmtId="182" fontId="14" fillId="0" borderId="1" xfId="1" applyNumberFormat="1" applyFont="1" applyBorder="1" applyAlignment="1">
      <alignment vertical="center"/>
    </xf>
    <xf numFmtId="179" fontId="13" fillId="0" borderId="1" xfId="2" applyNumberFormat="1" applyFont="1" applyBorder="1" applyAlignment="1">
      <alignment horizontal="left" vertical="center"/>
    </xf>
    <xf numFmtId="180" fontId="10" fillId="0" borderId="1" xfId="2" applyNumberFormat="1" applyFont="1" applyBorder="1" applyAlignment="1">
      <alignment horizontal="left" vertical="center"/>
    </xf>
    <xf numFmtId="177" fontId="16" fillId="0" borderId="1" xfId="2" applyNumberFormat="1" applyFont="1" applyBorder="1" applyAlignment="1">
      <alignment horizontal="left" vertical="center"/>
    </xf>
    <xf numFmtId="180" fontId="10" fillId="3" borderId="1" xfId="2" applyNumberFormat="1" applyFont="1" applyFill="1" applyBorder="1" applyAlignment="1">
      <alignment horizontal="left" vertical="center"/>
    </xf>
    <xf numFmtId="180" fontId="19" fillId="2" borderId="1" xfId="2" applyNumberFormat="1" applyFont="1" applyFill="1" applyBorder="1" applyAlignment="1">
      <alignment horizontal="left" vertical="center"/>
    </xf>
    <xf numFmtId="183" fontId="14" fillId="0" borderId="1" xfId="0" applyNumberFormat="1" applyFont="1" applyBorder="1" applyAlignment="1">
      <alignment horizontal="left" vertical="center"/>
    </xf>
    <xf numFmtId="180" fontId="20" fillId="0" borderId="1" xfId="2" applyNumberFormat="1" applyFont="1" applyBorder="1" applyAlignment="1">
      <alignment horizontal="left" vertical="center"/>
    </xf>
    <xf numFmtId="181" fontId="14" fillId="0" borderId="1" xfId="2" applyNumberFormat="1" applyFont="1" applyBorder="1" applyAlignment="1">
      <alignment horizontal="left" vertical="center"/>
    </xf>
    <xf numFmtId="177" fontId="13" fillId="0" borderId="4" xfId="2" applyNumberFormat="1" applyFont="1" applyBorder="1" applyAlignment="1">
      <alignment horizontal="left" vertical="center"/>
    </xf>
    <xf numFmtId="180" fontId="21" fillId="2" borderId="1" xfId="2" applyNumberFormat="1" applyFont="1" applyFill="1" applyBorder="1" applyAlignment="1">
      <alignment horizontal="left" vertical="center"/>
    </xf>
    <xf numFmtId="180" fontId="19" fillId="0" borderId="1" xfId="2" applyNumberFormat="1" applyFont="1" applyBorder="1" applyAlignment="1">
      <alignment horizontal="left" vertical="center"/>
    </xf>
    <xf numFmtId="176" fontId="14" fillId="0" borderId="1" xfId="7" applyNumberFormat="1" applyFont="1" applyBorder="1" applyAlignment="1">
      <alignment horizontal="left" vertical="center"/>
    </xf>
    <xf numFmtId="184" fontId="14" fillId="0" borderId="1" xfId="2" applyNumberFormat="1" applyFont="1" applyBorder="1" applyAlignment="1">
      <alignment horizontal="left" vertical="center"/>
    </xf>
    <xf numFmtId="180" fontId="21" fillId="6" borderId="1" xfId="2" applyNumberFormat="1" applyFont="1" applyFill="1" applyBorder="1" applyAlignment="1">
      <alignment horizontal="left" vertical="center"/>
    </xf>
    <xf numFmtId="180" fontId="14" fillId="2" borderId="1" xfId="2" applyNumberFormat="1" applyFont="1" applyFill="1" applyBorder="1" applyAlignment="1">
      <alignment horizontal="left" vertical="center"/>
    </xf>
    <xf numFmtId="0" fontId="7" fillId="0" borderId="5" xfId="2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8">
    <cellStyle name="常规" xfId="0" builtinId="0"/>
    <cellStyle name="常规 2" xfId="7" xr:uid="{00000000-0005-0000-0000-000007000000}"/>
    <cellStyle name="千位分隔" xfId="1" builtinId="3"/>
    <cellStyle name="千位分隔 2 5 2" xfId="4" xr:uid="{00000000-0005-0000-0000-000004000000}"/>
    <cellStyle name="一般 4 12" xfId="5" xr:uid="{00000000-0005-0000-0000-000005000000}"/>
    <cellStyle name="一般 6 2 2" xfId="2" xr:uid="{00000000-0005-0000-0000-000002000000}"/>
    <cellStyle name="一般_Sheet1 2" xfId="3" xr:uid="{00000000-0005-0000-0000-000003000000}"/>
    <cellStyle name="一般_Targeting file for Feb. 2006 to Asus_IBM" xfId="6" xr:uid="{00000000-0005-0000-0000-000006000000}"/>
  </cellStyles>
  <dxfs count="3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topLeftCell="I1" workbookViewId="0">
      <selection activeCell="AC4" sqref="AC4"/>
    </sheetView>
  </sheetViews>
  <sheetFormatPr defaultRowHeight="14.4" x14ac:dyDescent="0.25"/>
  <sheetData>
    <row r="1" spans="1:27" s="1" customFormat="1" ht="15.6" customHeight="1" x14ac:dyDescent="0.25">
      <c r="B1" s="8"/>
      <c r="C1" s="2"/>
      <c r="E1" s="3"/>
      <c r="F1" s="8"/>
      <c r="G1" s="4">
        <v>0.8</v>
      </c>
      <c r="H1" s="5">
        <v>0.8</v>
      </c>
      <c r="I1" s="4">
        <v>0.8</v>
      </c>
      <c r="J1" s="4">
        <v>0.8</v>
      </c>
      <c r="K1" s="69" t="s">
        <v>0</v>
      </c>
      <c r="L1" s="70"/>
      <c r="M1" s="71"/>
      <c r="N1" s="6"/>
      <c r="O1" s="7"/>
      <c r="P1" s="8">
        <v>1.02</v>
      </c>
      <c r="Q1" s="8"/>
      <c r="R1" s="8"/>
      <c r="S1" s="8">
        <v>1.02</v>
      </c>
      <c r="T1" s="8"/>
      <c r="U1" s="8"/>
      <c r="V1" s="8"/>
      <c r="W1" s="9">
        <v>2E-3</v>
      </c>
      <c r="X1" s="10">
        <v>0.8</v>
      </c>
      <c r="Y1" s="10">
        <v>0.9</v>
      </c>
      <c r="Z1" s="8"/>
      <c r="AA1" s="39"/>
    </row>
    <row r="2" spans="1:27" s="1" customFormat="1" ht="57.6" customHeight="1" x14ac:dyDescent="0.25">
      <c r="A2" s="11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4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40" t="s">
        <v>15</v>
      </c>
      <c r="P2" s="40" t="s">
        <v>16</v>
      </c>
      <c r="Q2" s="13" t="s">
        <v>17</v>
      </c>
      <c r="R2" s="40" t="s">
        <v>18</v>
      </c>
      <c r="S2" s="40" t="s">
        <v>19</v>
      </c>
      <c r="T2" s="41" t="s">
        <v>20</v>
      </c>
      <c r="U2" s="14" t="s">
        <v>6</v>
      </c>
      <c r="V2" s="13" t="s">
        <v>21</v>
      </c>
      <c r="W2" s="13" t="s">
        <v>22</v>
      </c>
      <c r="X2" s="13" t="s">
        <v>23</v>
      </c>
      <c r="Y2" s="13" t="s">
        <v>24</v>
      </c>
      <c r="Z2" s="15" t="s">
        <v>25</v>
      </c>
      <c r="AA2" s="16" t="s">
        <v>26</v>
      </c>
    </row>
    <row r="3" spans="1:27" s="22" customFormat="1" ht="16.95" customHeight="1" x14ac:dyDescent="0.3">
      <c r="A3" s="42">
        <v>45941</v>
      </c>
      <c r="B3" s="42" t="s">
        <v>27</v>
      </c>
      <c r="C3" s="17" t="s">
        <v>28</v>
      </c>
      <c r="D3" s="17" t="s">
        <v>29</v>
      </c>
      <c r="E3" s="18">
        <v>4</v>
      </c>
      <c r="F3" s="19">
        <v>300</v>
      </c>
      <c r="G3" s="43">
        <f>183.75/G$1</f>
        <v>229.6875</v>
      </c>
      <c r="H3" s="43">
        <f>105/0.95</f>
        <v>110.52631578947368</v>
      </c>
      <c r="I3" s="43">
        <f>(0+30)/I$1</f>
        <v>37.5</v>
      </c>
      <c r="J3" s="43">
        <f>130/J$1</f>
        <v>162.5</v>
      </c>
      <c r="K3" s="44">
        <v>0</v>
      </c>
      <c r="L3" s="44">
        <f>15*1.1*60/2</f>
        <v>495</v>
      </c>
      <c r="M3" s="44">
        <v>90</v>
      </c>
      <c r="N3" s="44">
        <f t="shared" ref="N3:N12" si="0">SUM(G3:M3)</f>
        <v>1125.2138157894738</v>
      </c>
      <c r="O3" s="45">
        <v>34.299999999999997</v>
      </c>
      <c r="P3" s="45">
        <f>ROUND((O3*N3/3600)*1.05,2)</f>
        <v>11.26</v>
      </c>
      <c r="Q3" s="46">
        <v>151.875</v>
      </c>
      <c r="R3" s="45">
        <v>162.80000000000001</v>
      </c>
      <c r="S3" s="45">
        <f>ROUND((R3*Q3/3600)*1.05,2)</f>
        <v>7.21</v>
      </c>
      <c r="T3" s="47">
        <f t="shared" ref="T3:T12" si="1">SUM(P3,S3)</f>
        <v>18.47</v>
      </c>
      <c r="U3" s="20">
        <f t="shared" ref="U3:U12" si="2">F3</f>
        <v>300</v>
      </c>
      <c r="V3" s="48">
        <v>265.55008095400001</v>
      </c>
      <c r="W3" s="49">
        <f>V3*0.004</f>
        <v>1.062200323816</v>
      </c>
      <c r="X3" s="21">
        <f>ROUNDUP(P3*1.2,2)</f>
        <v>13.52</v>
      </c>
      <c r="Y3" s="21">
        <f>ROUNDUP(P3*1.5,2)</f>
        <v>16.89</v>
      </c>
      <c r="Z3" s="50"/>
      <c r="AA3" s="21">
        <v>848</v>
      </c>
    </row>
    <row r="4" spans="1:27" s="25" customFormat="1" ht="15.6" customHeight="1" x14ac:dyDescent="0.3">
      <c r="A4" s="42">
        <v>45960</v>
      </c>
      <c r="B4" s="42" t="s">
        <v>30</v>
      </c>
      <c r="C4" s="17" t="s">
        <v>31</v>
      </c>
      <c r="D4" s="17" t="s">
        <v>32</v>
      </c>
      <c r="E4" s="23">
        <v>4</v>
      </c>
      <c r="F4" s="51">
        <v>8100</v>
      </c>
      <c r="G4" s="43">
        <f>80.66/G$1</f>
        <v>100.82499999999999</v>
      </c>
      <c r="H4" s="43">
        <f>0/H$1</f>
        <v>0</v>
      </c>
      <c r="I4" s="43">
        <f>22/I$1</f>
        <v>27.5</v>
      </c>
      <c r="J4" s="43">
        <f>70.4/J$1</f>
        <v>88</v>
      </c>
      <c r="K4" s="44">
        <v>0</v>
      </c>
      <c r="L4" s="44">
        <f>15*60*1.1/2</f>
        <v>495.00000000000006</v>
      </c>
      <c r="M4" s="44">
        <v>90</v>
      </c>
      <c r="N4" s="44">
        <f t="shared" si="0"/>
        <v>801.32500000000005</v>
      </c>
      <c r="O4" s="45">
        <v>34.299999999999997</v>
      </c>
      <c r="P4" s="45">
        <f>ROUND((O4*N4/3600)*1.02,2)</f>
        <v>7.79</v>
      </c>
      <c r="Q4" s="45">
        <v>118.97499999999999</v>
      </c>
      <c r="R4" s="45">
        <v>162.80000000000001</v>
      </c>
      <c r="S4" s="45">
        <f>ROUND((R4*Q4/3600)*1.02,2)</f>
        <v>5.49</v>
      </c>
      <c r="T4" s="45">
        <f t="shared" si="1"/>
        <v>13.280000000000001</v>
      </c>
      <c r="U4" s="24">
        <f t="shared" si="2"/>
        <v>8100</v>
      </c>
      <c r="V4" s="48">
        <v>50.402155983999997</v>
      </c>
      <c r="W4" s="49">
        <f>V4*0.2%</f>
        <v>0.10080431196799999</v>
      </c>
      <c r="X4" s="21">
        <f>ROUNDUP(P4*0.8,2)</f>
        <v>6.24</v>
      </c>
      <c r="Y4" s="21">
        <f>ROUNDUP(P4*0.9,2)</f>
        <v>7.02</v>
      </c>
      <c r="Z4" s="48"/>
      <c r="AA4" s="21"/>
    </row>
    <row r="5" spans="1:27" s="25" customFormat="1" ht="15.6" customHeight="1" x14ac:dyDescent="0.3">
      <c r="A5" s="42">
        <v>45960</v>
      </c>
      <c r="B5" s="52" t="s">
        <v>33</v>
      </c>
      <c r="C5" s="52" t="s">
        <v>34</v>
      </c>
      <c r="D5" s="17" t="s">
        <v>35</v>
      </c>
      <c r="E5" s="18">
        <v>4</v>
      </c>
      <c r="F5" s="53">
        <v>2100</v>
      </c>
      <c r="G5" s="43">
        <f>201.75/G$1</f>
        <v>252.1875</v>
      </c>
      <c r="H5" s="43">
        <f>150/H$1</f>
        <v>187.5</v>
      </c>
      <c r="I5" s="43">
        <f>19.5/I$1</f>
        <v>24.375</v>
      </c>
      <c r="J5" s="54">
        <f>170/J$1</f>
        <v>212.5</v>
      </c>
      <c r="K5" s="44">
        <v>0</v>
      </c>
      <c r="L5" s="55">
        <f>27*60*1.1/2</f>
        <v>891.00000000000011</v>
      </c>
      <c r="M5" s="44">
        <v>90</v>
      </c>
      <c r="N5" s="44">
        <f t="shared" si="0"/>
        <v>1657.5625</v>
      </c>
      <c r="O5" s="45">
        <v>34.299999999999997</v>
      </c>
      <c r="P5" s="56">
        <f>ROUND((O5*N5/3600)*1.05,2)</f>
        <v>16.579999999999998</v>
      </c>
      <c r="Q5" s="44">
        <v>177.75</v>
      </c>
      <c r="R5" s="45">
        <v>162.80000000000001</v>
      </c>
      <c r="S5" s="56">
        <f>ROUND((R5*Q5/3600)*1.05,2)</f>
        <v>8.44</v>
      </c>
      <c r="T5" s="47">
        <f t="shared" si="1"/>
        <v>25.019999999999996</v>
      </c>
      <c r="U5" s="24">
        <f t="shared" si="2"/>
        <v>2100</v>
      </c>
      <c r="V5" s="48">
        <v>726.07189114400001</v>
      </c>
      <c r="W5" s="49">
        <f>V5*0.2%</f>
        <v>1.4521437822880001</v>
      </c>
      <c r="X5" s="21">
        <f>ROUNDUP(P5*0.8,2)</f>
        <v>13.27</v>
      </c>
      <c r="Y5" s="21">
        <f>ROUNDUP(P5*0.9,2)</f>
        <v>14.93</v>
      </c>
      <c r="Z5" s="48"/>
      <c r="AA5" s="21">
        <v>679</v>
      </c>
    </row>
    <row r="6" spans="1:27" s="25" customFormat="1" ht="15.6" customHeight="1" x14ac:dyDescent="0.3">
      <c r="A6" s="42">
        <v>45960</v>
      </c>
      <c r="B6" s="52" t="s">
        <v>36</v>
      </c>
      <c r="C6" s="52" t="s">
        <v>37</v>
      </c>
      <c r="D6" s="17" t="s">
        <v>38</v>
      </c>
      <c r="E6" s="18">
        <v>2</v>
      </c>
      <c r="F6" s="53">
        <v>2100</v>
      </c>
      <c r="G6" s="43">
        <f>196.5/G$1</f>
        <v>245.625</v>
      </c>
      <c r="H6" s="43">
        <f>165/H$1</f>
        <v>206.25</v>
      </c>
      <c r="I6" s="43">
        <f>39/I$1</f>
        <v>48.75</v>
      </c>
      <c r="J6" s="54">
        <f>140/J$1</f>
        <v>175</v>
      </c>
      <c r="K6" s="44">
        <v>0</v>
      </c>
      <c r="L6" s="55">
        <f>27*60*1.1/2</f>
        <v>891.00000000000011</v>
      </c>
      <c r="M6" s="44">
        <v>90</v>
      </c>
      <c r="N6" s="44">
        <f t="shared" si="0"/>
        <v>1656.625</v>
      </c>
      <c r="O6" s="45">
        <v>34.299999999999997</v>
      </c>
      <c r="P6" s="56">
        <f>ROUND((O6*N6/3600)*1.05,2)</f>
        <v>16.57</v>
      </c>
      <c r="Q6" s="44">
        <v>210.5</v>
      </c>
      <c r="R6" s="45">
        <v>162.80000000000001</v>
      </c>
      <c r="S6" s="56">
        <f>ROUND((R6*Q6/3600)*1.05,2)</f>
        <v>10</v>
      </c>
      <c r="T6" s="47">
        <f t="shared" si="1"/>
        <v>26.57</v>
      </c>
      <c r="U6" s="24">
        <f t="shared" si="2"/>
        <v>2100</v>
      </c>
      <c r="V6" s="48">
        <v>396.380681552</v>
      </c>
      <c r="W6" s="49">
        <f>V6*0.2%</f>
        <v>0.79276136310400003</v>
      </c>
      <c r="X6" s="21">
        <f>ROUNDUP(P6*0.8,2)</f>
        <v>13.26</v>
      </c>
      <c r="Y6" s="21">
        <f>ROUNDUP(P6*0.9,2)</f>
        <v>14.92</v>
      </c>
      <c r="Z6" s="48"/>
      <c r="AA6" s="21">
        <v>881</v>
      </c>
    </row>
    <row r="7" spans="1:27" s="25" customFormat="1" ht="15.6" customHeight="1" x14ac:dyDescent="0.3">
      <c r="A7" s="42">
        <v>45960</v>
      </c>
      <c r="B7" s="26" t="s">
        <v>39</v>
      </c>
      <c r="C7" s="26" t="s">
        <v>40</v>
      </c>
      <c r="D7" s="27" t="s">
        <v>41</v>
      </c>
      <c r="E7" s="18">
        <v>1</v>
      </c>
      <c r="F7" s="20">
        <v>6000</v>
      </c>
      <c r="G7" s="43">
        <f>850.93/G$1</f>
        <v>1063.6624999999999</v>
      </c>
      <c r="H7" s="43">
        <f>800.8/$G$1</f>
        <v>1000.9999999999999</v>
      </c>
      <c r="I7" s="43">
        <f>(23)/I$1</f>
        <v>28.75</v>
      </c>
      <c r="J7" s="43">
        <f>651/J$1</f>
        <v>813.75</v>
      </c>
      <c r="K7" s="44">
        <v>180</v>
      </c>
      <c r="L7" s="57">
        <f>42*1.1*60/2</f>
        <v>1386</v>
      </c>
      <c r="M7" s="44">
        <v>180</v>
      </c>
      <c r="N7" s="44">
        <f t="shared" si="0"/>
        <v>4653.1625000000004</v>
      </c>
      <c r="O7" s="48">
        <v>34.299999999999997</v>
      </c>
      <c r="P7" s="45">
        <f t="shared" ref="P7:P12" si="3">ROUND((O7*N7/3600)*1.02,2)</f>
        <v>45.22</v>
      </c>
      <c r="Q7" s="58">
        <v>1324.18</v>
      </c>
      <c r="R7" s="48">
        <v>162.80000000000001</v>
      </c>
      <c r="S7" s="45">
        <f t="shared" ref="S7:S12" si="4">ROUND((R7*Q7/3600)*1.02,2)</f>
        <v>61.08</v>
      </c>
      <c r="T7" s="47">
        <f t="shared" si="1"/>
        <v>106.3</v>
      </c>
      <c r="U7" s="20">
        <f t="shared" si="2"/>
        <v>6000</v>
      </c>
      <c r="V7" s="59">
        <f>2869</f>
        <v>2869</v>
      </c>
      <c r="W7" s="49">
        <f t="shared" ref="W7:W12" si="5">V7*0.002</f>
        <v>5.7380000000000004</v>
      </c>
      <c r="X7" s="21">
        <f>ROUNDUP(P7*0.6,2)</f>
        <v>27.14</v>
      </c>
      <c r="Y7" s="21">
        <f>ROUNDUP(P7*0.6,2)</f>
        <v>27.14</v>
      </c>
      <c r="Z7" s="48"/>
      <c r="AA7" s="21">
        <v>4454</v>
      </c>
    </row>
    <row r="8" spans="1:27" s="25" customFormat="1" ht="15.6" customHeight="1" x14ac:dyDescent="0.3">
      <c r="A8" s="42">
        <v>45960</v>
      </c>
      <c r="B8" s="42" t="s">
        <v>42</v>
      </c>
      <c r="C8" s="28" t="s">
        <v>43</v>
      </c>
      <c r="D8" s="27" t="s">
        <v>44</v>
      </c>
      <c r="E8" s="18">
        <v>6</v>
      </c>
      <c r="F8" s="29">
        <v>7000</v>
      </c>
      <c r="G8" s="43">
        <f>45.8/G$1</f>
        <v>57.249999999999993</v>
      </c>
      <c r="H8" s="43">
        <f>70/0.95</f>
        <v>73.684210526315795</v>
      </c>
      <c r="I8" s="43">
        <f>(135+30)/I$1</f>
        <v>206.25</v>
      </c>
      <c r="J8" s="43">
        <f>132/J$1</f>
        <v>165</v>
      </c>
      <c r="K8" s="44">
        <v>0</v>
      </c>
      <c r="L8" s="55">
        <f>10*1.1*60/2</f>
        <v>330</v>
      </c>
      <c r="M8" s="44">
        <v>60</v>
      </c>
      <c r="N8" s="44">
        <f t="shared" si="0"/>
        <v>892.18421052631584</v>
      </c>
      <c r="O8" s="45">
        <v>34.299999999999997</v>
      </c>
      <c r="P8" s="45">
        <f t="shared" si="3"/>
        <v>8.67</v>
      </c>
      <c r="Q8" s="60">
        <v>74.266666666666694</v>
      </c>
      <c r="R8" s="43">
        <v>162.80000000000001</v>
      </c>
      <c r="S8" s="45">
        <f t="shared" si="4"/>
        <v>3.43</v>
      </c>
      <c r="T8" s="47">
        <f t="shared" si="1"/>
        <v>12.1</v>
      </c>
      <c r="U8" s="20">
        <f t="shared" si="2"/>
        <v>7000</v>
      </c>
      <c r="V8" s="59">
        <v>75.252657720000002</v>
      </c>
      <c r="W8" s="61">
        <f t="shared" si="5"/>
        <v>0.15050531544000001</v>
      </c>
      <c r="X8" s="21">
        <f>ROUNDUP(P8*0.6,2)</f>
        <v>5.21</v>
      </c>
      <c r="Y8" s="21">
        <f>ROUNDUP(P8*0.6,2)</f>
        <v>5.21</v>
      </c>
      <c r="Z8" s="62"/>
      <c r="AA8" s="21">
        <v>143</v>
      </c>
    </row>
    <row r="9" spans="1:27" s="25" customFormat="1" ht="15.6" customHeight="1" x14ac:dyDescent="0.3">
      <c r="A9" s="42">
        <v>45960</v>
      </c>
      <c r="B9" s="42" t="s">
        <v>45</v>
      </c>
      <c r="C9" s="30" t="s">
        <v>46</v>
      </c>
      <c r="D9" s="27" t="s">
        <v>47</v>
      </c>
      <c r="E9" s="18">
        <v>4</v>
      </c>
      <c r="F9" s="20">
        <v>5000</v>
      </c>
      <c r="G9" s="43">
        <f>65/G$1</f>
        <v>81.25</v>
      </c>
      <c r="H9" s="43">
        <f>0/$G$1</f>
        <v>0</v>
      </c>
      <c r="I9" s="43">
        <f>(25)/I$1</f>
        <v>31.25</v>
      </c>
      <c r="J9" s="43">
        <f>90/J$1</f>
        <v>112.5</v>
      </c>
      <c r="K9" s="44">
        <v>0</v>
      </c>
      <c r="L9" s="55">
        <f>15*1.1*60/2</f>
        <v>495</v>
      </c>
      <c r="M9" s="44">
        <v>90</v>
      </c>
      <c r="N9" s="44">
        <f t="shared" si="0"/>
        <v>810</v>
      </c>
      <c r="O9" s="45">
        <v>34.299999999999997</v>
      </c>
      <c r="P9" s="45">
        <f t="shared" si="3"/>
        <v>7.87</v>
      </c>
      <c r="Q9" s="44">
        <v>81.25</v>
      </c>
      <c r="R9" s="45">
        <v>162.80000000000001</v>
      </c>
      <c r="S9" s="45">
        <f t="shared" si="4"/>
        <v>3.75</v>
      </c>
      <c r="T9" s="47">
        <f t="shared" si="1"/>
        <v>11.620000000000001</v>
      </c>
      <c r="U9" s="20">
        <f t="shared" si="2"/>
        <v>5000</v>
      </c>
      <c r="V9" s="31">
        <v>116.7827762</v>
      </c>
      <c r="W9" s="61">
        <f t="shared" si="5"/>
        <v>0.23356555240000001</v>
      </c>
      <c r="X9" s="32">
        <f>ROUNDUP(P9*0.8,2)</f>
        <v>6.3</v>
      </c>
      <c r="Y9" s="32">
        <f>ROUNDUP(P9*0.9,2)</f>
        <v>7.09</v>
      </c>
      <c r="Z9" s="48"/>
      <c r="AA9" s="21"/>
    </row>
    <row r="10" spans="1:27" s="25" customFormat="1" ht="15.6" customHeight="1" x14ac:dyDescent="0.3">
      <c r="A10" s="42">
        <v>45960</v>
      </c>
      <c r="B10" s="42" t="s">
        <v>48</v>
      </c>
      <c r="C10" s="26" t="s">
        <v>49</v>
      </c>
      <c r="D10" s="33" t="s">
        <v>50</v>
      </c>
      <c r="E10" s="23">
        <v>2</v>
      </c>
      <c r="F10" s="20">
        <v>13000</v>
      </c>
      <c r="G10" s="43">
        <f>357.5/G$1</f>
        <v>446.875</v>
      </c>
      <c r="H10" s="54">
        <f>0/$G$1</f>
        <v>0</v>
      </c>
      <c r="I10" s="54">
        <f>(37)/I$1</f>
        <v>46.25</v>
      </c>
      <c r="J10" s="54">
        <f>345/J$1</f>
        <v>431.25</v>
      </c>
      <c r="K10" s="44">
        <v>0</v>
      </c>
      <c r="L10" s="63">
        <f>18*1.1*60/2</f>
        <v>594</v>
      </c>
      <c r="M10" s="44">
        <v>60</v>
      </c>
      <c r="N10" s="44">
        <f t="shared" si="0"/>
        <v>1578.375</v>
      </c>
      <c r="O10" s="45">
        <v>34.299999999999997</v>
      </c>
      <c r="P10" s="45">
        <f t="shared" si="3"/>
        <v>15.34</v>
      </c>
      <c r="Q10" s="64">
        <v>336.5</v>
      </c>
      <c r="R10" s="45">
        <v>162.80000000000001</v>
      </c>
      <c r="S10" s="45">
        <f t="shared" si="4"/>
        <v>15.52</v>
      </c>
      <c r="T10" s="47">
        <f t="shared" si="1"/>
        <v>30.86</v>
      </c>
      <c r="U10" s="20">
        <f t="shared" si="2"/>
        <v>13000</v>
      </c>
      <c r="V10" s="65">
        <v>658.50076458285696</v>
      </c>
      <c r="W10" s="61">
        <f t="shared" si="5"/>
        <v>1.317001529165714</v>
      </c>
      <c r="X10" s="66">
        <f>ROUNDUP(P10*0.6,2)</f>
        <v>9.2099999999999991</v>
      </c>
      <c r="Y10" s="66">
        <f>ROUNDUP(P10*0.6,2)</f>
        <v>9.2099999999999991</v>
      </c>
      <c r="Z10" s="48"/>
      <c r="AA10" s="21">
        <v>1397</v>
      </c>
    </row>
    <row r="11" spans="1:27" s="25" customFormat="1" ht="15.6" customHeight="1" x14ac:dyDescent="0.3">
      <c r="A11" s="42">
        <v>45960</v>
      </c>
      <c r="B11" s="34" t="s">
        <v>51</v>
      </c>
      <c r="C11" s="35" t="s">
        <v>52</v>
      </c>
      <c r="D11" s="33" t="s">
        <v>53</v>
      </c>
      <c r="E11" s="23">
        <v>2</v>
      </c>
      <c r="F11" s="20">
        <v>13000</v>
      </c>
      <c r="G11" s="43">
        <f>210/G$1</f>
        <v>262.5</v>
      </c>
      <c r="H11" s="43">
        <f>0/$G$1</f>
        <v>0</v>
      </c>
      <c r="I11" s="43">
        <f>(48)/I$1</f>
        <v>60</v>
      </c>
      <c r="J11" s="43">
        <f>120/J$1</f>
        <v>150</v>
      </c>
      <c r="K11" s="44">
        <v>0</v>
      </c>
      <c r="L11" s="67">
        <f>13*1.1*60/2</f>
        <v>429</v>
      </c>
      <c r="M11" s="44">
        <v>60</v>
      </c>
      <c r="N11" s="44">
        <f t="shared" si="0"/>
        <v>961.5</v>
      </c>
      <c r="O11" s="45">
        <v>34.299999999999997</v>
      </c>
      <c r="P11" s="45">
        <f t="shared" si="3"/>
        <v>9.34</v>
      </c>
      <c r="Q11" s="64">
        <v>232.5</v>
      </c>
      <c r="R11" s="45">
        <v>162.80000000000001</v>
      </c>
      <c r="S11" s="45">
        <f t="shared" si="4"/>
        <v>10.72</v>
      </c>
      <c r="T11" s="47">
        <f t="shared" si="1"/>
        <v>20.060000000000002</v>
      </c>
      <c r="U11" s="20">
        <f t="shared" si="2"/>
        <v>13000</v>
      </c>
      <c r="V11" s="65">
        <v>205.13314320000001</v>
      </c>
      <c r="W11" s="61">
        <f t="shared" si="5"/>
        <v>0.41026628640000001</v>
      </c>
      <c r="X11" s="66">
        <f>ROUNDUP(P11*0.6,2)</f>
        <v>5.6099999999999994</v>
      </c>
      <c r="Y11" s="66">
        <f>ROUNDUP(P11*0.6,2)</f>
        <v>5.6099999999999994</v>
      </c>
      <c r="Z11" s="48"/>
      <c r="AA11" s="21">
        <v>501</v>
      </c>
    </row>
    <row r="12" spans="1:27" s="25" customFormat="1" ht="15.6" customHeight="1" x14ac:dyDescent="0.3">
      <c r="A12" s="42">
        <v>45960</v>
      </c>
      <c r="B12" s="36" t="s">
        <v>54</v>
      </c>
      <c r="C12" s="17" t="s">
        <v>55</v>
      </c>
      <c r="D12" s="33" t="s">
        <v>56</v>
      </c>
      <c r="E12" s="23">
        <v>1</v>
      </c>
      <c r="F12" s="20">
        <v>1500</v>
      </c>
      <c r="G12" s="43">
        <f>441/G$1</f>
        <v>551.25</v>
      </c>
      <c r="H12" s="43">
        <f>840/0.8</f>
        <v>1050</v>
      </c>
      <c r="I12" s="43">
        <f>0/I$1</f>
        <v>0</v>
      </c>
      <c r="J12" s="54">
        <f>360/J$1</f>
        <v>450</v>
      </c>
      <c r="K12" s="55">
        <v>86</v>
      </c>
      <c r="L12" s="55">
        <f>40*60*1.1/2</f>
        <v>1320</v>
      </c>
      <c r="M12" s="44">
        <v>90</v>
      </c>
      <c r="N12" s="44">
        <f t="shared" si="0"/>
        <v>3547.25</v>
      </c>
      <c r="O12" s="45">
        <v>34.299999999999997</v>
      </c>
      <c r="P12" s="45">
        <f t="shared" si="3"/>
        <v>34.47</v>
      </c>
      <c r="Q12" s="68">
        <v>710.5</v>
      </c>
      <c r="R12" s="45">
        <v>162.80000000000001</v>
      </c>
      <c r="S12" s="45">
        <f t="shared" si="4"/>
        <v>32.770000000000003</v>
      </c>
      <c r="T12" s="47">
        <f t="shared" si="1"/>
        <v>67.240000000000009</v>
      </c>
      <c r="U12" s="20">
        <f t="shared" si="2"/>
        <v>1500</v>
      </c>
      <c r="V12" s="37">
        <v>470.20496323999998</v>
      </c>
      <c r="W12" s="66">
        <f t="shared" si="5"/>
        <v>0.94040992647999999</v>
      </c>
      <c r="X12" s="66">
        <f>ROUNDUP(P12*0.8,2)</f>
        <v>27.580000000000002</v>
      </c>
      <c r="Y12" s="66">
        <f>ROUNDUP(P12*0.9,2)</f>
        <v>31.03</v>
      </c>
      <c r="Z12" s="48"/>
      <c r="AA12" s="38">
        <v>2858</v>
      </c>
    </row>
  </sheetData>
  <mergeCells count="1">
    <mergeCell ref="K1:M1"/>
  </mergeCells>
  <phoneticPr fontId="4" type="noConversion"/>
  <conditionalFormatting sqref="A2">
    <cfRule type="expression" dxfId="35" priority="36">
      <formula>$A2&lt;&gt;""</formula>
    </cfRule>
  </conditionalFormatting>
  <conditionalFormatting sqref="B2">
    <cfRule type="expression" dxfId="34" priority="35">
      <formula>$A2&lt;&gt;""</formula>
    </cfRule>
  </conditionalFormatting>
  <conditionalFormatting sqref="B3">
    <cfRule type="expression" dxfId="33" priority="31">
      <formula>$A3&lt;&gt;""</formula>
    </cfRule>
  </conditionalFormatting>
  <conditionalFormatting sqref="C3">
    <cfRule type="expression" dxfId="32" priority="29">
      <formula>$A3&lt;&gt;""</formula>
    </cfRule>
    <cfRule type="expression" dxfId="31" priority="30">
      <formula>$A3&lt;&gt;""</formula>
    </cfRule>
  </conditionalFormatting>
  <conditionalFormatting sqref="D3">
    <cfRule type="expression" dxfId="30" priority="28">
      <formula>#REF!&lt;&gt;""</formula>
    </cfRule>
  </conditionalFormatting>
  <conditionalFormatting sqref="F3">
    <cfRule type="expression" dxfId="29" priority="27">
      <formula>#REF!&lt;&gt;""</formula>
    </cfRule>
  </conditionalFormatting>
  <conditionalFormatting sqref="G3">
    <cfRule type="expression" dxfId="28" priority="26">
      <formula>#REF!&lt;&gt;""</formula>
    </cfRule>
  </conditionalFormatting>
  <conditionalFormatting sqref="H3">
    <cfRule type="expression" dxfId="27" priority="24">
      <formula>#REF!&lt;&gt;""</formula>
    </cfRule>
  </conditionalFormatting>
  <conditionalFormatting sqref="I3">
    <cfRule type="expression" dxfId="26" priority="25">
      <formula>#REF!&lt;&gt;""</formula>
    </cfRule>
  </conditionalFormatting>
  <conditionalFormatting sqref="J3">
    <cfRule type="expression" dxfId="25" priority="18">
      <formula>#REF!&lt;&gt;""</formula>
    </cfRule>
  </conditionalFormatting>
  <conditionalFormatting sqref="K3">
    <cfRule type="expression" dxfId="24" priority="20">
      <formula>#REF!&lt;&gt;""</formula>
    </cfRule>
  </conditionalFormatting>
  <conditionalFormatting sqref="L3">
    <cfRule type="expression" dxfId="23" priority="21">
      <formula>#REF!&lt;&gt;""</formula>
    </cfRule>
  </conditionalFormatting>
  <conditionalFormatting sqref="M3">
    <cfRule type="expression" dxfId="22" priority="22">
      <formula>#REF!&lt;&gt;""</formula>
    </cfRule>
  </conditionalFormatting>
  <conditionalFormatting sqref="N3">
    <cfRule type="expression" dxfId="21" priority="23">
      <formula>#REF!&lt;&gt;""</formula>
    </cfRule>
  </conditionalFormatting>
  <conditionalFormatting sqref="P3">
    <cfRule type="expression" dxfId="20" priority="19">
      <formula>#REF!&lt;&gt;""</formula>
    </cfRule>
  </conditionalFormatting>
  <conditionalFormatting sqref="D7">
    <cfRule type="expression" dxfId="19" priority="17">
      <formula>#REF!&lt;&gt;""</formula>
    </cfRule>
  </conditionalFormatting>
  <conditionalFormatting sqref="B8">
    <cfRule type="expression" dxfId="18" priority="14">
      <formula>$B8&lt;&gt;""</formula>
    </cfRule>
    <cfRule type="expression" dxfId="17" priority="15">
      <formula>$B599&lt;&gt;""</formula>
    </cfRule>
  </conditionalFormatting>
  <conditionalFormatting sqref="D8">
    <cfRule type="expression" dxfId="16" priority="16">
      <formula>#REF!&lt;&gt;""</formula>
    </cfRule>
  </conditionalFormatting>
  <conditionalFormatting sqref="O8">
    <cfRule type="expression" dxfId="15" priority="13">
      <formula>$B8&lt;&gt;""</formula>
    </cfRule>
  </conditionalFormatting>
  <conditionalFormatting sqref="R8">
    <cfRule type="expression" dxfId="14" priority="12">
      <formula>$B8&lt;&gt;""</formula>
    </cfRule>
  </conditionalFormatting>
  <conditionalFormatting sqref="B12">
    <cfRule type="expression" dxfId="13" priority="2">
      <formula>$B12&lt;&gt;""</formula>
    </cfRule>
    <cfRule type="expression" dxfId="12" priority="3">
      <formula>$B752&lt;&gt;""</formula>
    </cfRule>
    <cfRule type="expression" dxfId="11" priority="4">
      <formula>$D12&lt;&gt;""</formula>
    </cfRule>
  </conditionalFormatting>
  <conditionalFormatting sqref="C12">
    <cfRule type="expression" dxfId="10" priority="1">
      <formula>#REF!&lt;&gt;""</formula>
    </cfRule>
  </conditionalFormatting>
  <conditionalFormatting sqref="D12">
    <cfRule type="expression" dxfId="9" priority="11">
      <formula>#REF!&lt;&gt;""</formula>
    </cfRule>
  </conditionalFormatting>
  <conditionalFormatting sqref="G12">
    <cfRule type="expression" dxfId="8" priority="10">
      <formula>$A12&lt;&gt;""</formula>
    </cfRule>
  </conditionalFormatting>
  <conditionalFormatting sqref="I12">
    <cfRule type="expression" dxfId="7" priority="9">
      <formula>$A12&lt;&gt;""</formula>
    </cfRule>
  </conditionalFormatting>
  <conditionalFormatting sqref="J12">
    <cfRule type="expression" dxfId="6" priority="8">
      <formula>$A12&lt;&gt;""</formula>
    </cfRule>
  </conditionalFormatting>
  <conditionalFormatting sqref="K12">
    <cfRule type="expression" dxfId="5" priority="7">
      <formula>$A12&lt;&gt;""</formula>
    </cfRule>
  </conditionalFormatting>
  <conditionalFormatting sqref="L12">
    <cfRule type="expression" dxfId="4" priority="6">
      <formula>$A12&lt;&gt;""</formula>
    </cfRule>
  </conditionalFormatting>
  <conditionalFormatting sqref="Q12">
    <cfRule type="expression" dxfId="3" priority="5">
      <formula>$A12&lt;&gt;""</formula>
    </cfRule>
  </conditionalFormatting>
  <conditionalFormatting sqref="A3:A12">
    <cfRule type="expression" dxfId="2" priority="32">
      <formula>$A3&lt;&gt;""</formula>
    </cfRule>
    <cfRule type="expression" dxfId="1" priority="33">
      <formula>$A759&lt;&gt;""</formula>
    </cfRule>
    <cfRule type="expression" dxfId="0" priority="34">
      <formula>$C3&lt;&gt;""</formula>
    </cfRule>
  </conditionalFormatting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005017-潘有含</cp:lastModifiedBy>
  <dcterms:created xsi:type="dcterms:W3CDTF">2025-11-17T07:01:23Z</dcterms:created>
  <dcterms:modified xsi:type="dcterms:W3CDTF">2025-11-21T08:08:51Z</dcterms:modified>
</cp:coreProperties>
</file>