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Project\Quotation\"/>
    </mc:Choice>
  </mc:AlternateContent>
  <xr:revisionPtr revIDLastSave="0" documentId="8_{568BE6D9-B23C-48FB-8A97-2EAAFC7B9D4A}" xr6:coauthVersionLast="36" xr6:coauthVersionMax="36" xr10:uidLastSave="{00000000-0000-0000-0000-000000000000}"/>
  <bookViews>
    <workbookView xWindow="0" yWindow="0" windowWidth="20496" windowHeight="7488" xr2:uid="{00000000-000D-0000-FFFF-FFFF00000000}"/>
  </bookViews>
  <sheets>
    <sheet name="MVA (MB+ws）" sheetId="1" r:id="rId1"/>
    <sheet name="MVA (card）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\0">'[6]O-A'!#REF!</definedName>
    <definedName name="\a">'[6]O-A'!#REF!</definedName>
    <definedName name="\b">'[6]O-A'!#REF!</definedName>
    <definedName name="\c">'[6]O-A'!#REF!</definedName>
    <definedName name="\d">'[6]O-A'!#REF!</definedName>
    <definedName name="\MENU">'[6]O-A'!#REF!</definedName>
    <definedName name="\MENU1">'[6]O-A'!#REF!</definedName>
    <definedName name="\MENU2">'[6]O-A'!#REF!</definedName>
    <definedName name="\o">'[6]O-A'!#REF!</definedName>
    <definedName name="\p">'[6]O-A'!#REF!</definedName>
    <definedName name="\q">'[6]O-A'!#REF!</definedName>
    <definedName name="\s">'[6]O-A'!#REF!</definedName>
    <definedName name="\x">'[6]O-A'!#REF!</definedName>
    <definedName name="\z">'[6]O-A'!#REF!</definedName>
    <definedName name="____" localSheetId="1">#REF!</definedName>
    <definedName name="____" localSheetId="0">#REF!</definedName>
    <definedName name="________DAT10">#REF!</definedName>
    <definedName name="________DAT12">#REF!</definedName>
    <definedName name="_____DAT10">#REF!</definedName>
    <definedName name="_____DAT11">#REF!</definedName>
    <definedName name="_____DAT13">#REF!</definedName>
    <definedName name="_____DAT14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oup2">#REF!</definedName>
    <definedName name="_____R65763">#REF!</definedName>
    <definedName name="_____R65789">#REF!</definedName>
    <definedName name="_____R68720">#REF!</definedName>
    <definedName name="____DAT1">#REF!</definedName>
    <definedName name="____DAT10">'[7]550501-消耗品'!#REF!</definedName>
    <definedName name="____DAT11">'[8]WO list'!#REF!</definedName>
    <definedName name="____DAT12">#REF!</definedName>
    <definedName name="____DAT13">'[8]WO list'!#REF!</definedName>
    <definedName name="____DAT14">'[8]WO list'!#REF!</definedName>
    <definedName name="____DAT16">'[8]WO list'!#REF!</definedName>
    <definedName name="____DAT17">'[8]WO list'!#REF!</definedName>
    <definedName name="____DAT2">'[8]WO list'!#REF!</definedName>
    <definedName name="____DAT3">'[7]550501-消耗品'!#REF!</definedName>
    <definedName name="____DAT4">'[8]WO list'!#REF!</definedName>
    <definedName name="____DAT5">'[8]WO list'!#REF!</definedName>
    <definedName name="____DAT6">'[8]WO list'!#REF!</definedName>
    <definedName name="____DAT7">'[8]WO list'!#REF!</definedName>
    <definedName name="____DAT8">'[7]550501-消耗品'!#REF!</definedName>
    <definedName name="____DAT9">'[8]WO list'!#REF!</definedName>
    <definedName name="____oup2">#REF!</definedName>
    <definedName name="____R65763">#REF!</definedName>
    <definedName name="____R65789">#REF!</definedName>
    <definedName name="____R68720">#REF!</definedName>
    <definedName name="____RJ11">#REF!</definedName>
    <definedName name="____uup2">'[9]0843-002660-00'!#REF!</definedName>
    <definedName name="___DAT1">'[7]550501-消耗品'!#REF!</definedName>
    <definedName name="___DAT10">'[10]550501-消耗品'!#REF!</definedName>
    <definedName name="___DAT11">'[11]WO list'!#REF!</definedName>
    <definedName name="___DAT12">#REF!</definedName>
    <definedName name="___DAT13">'[11]WO list'!#REF!</definedName>
    <definedName name="___DAT14">'[11]WO list'!#REF!</definedName>
    <definedName name="___DAT15">#REF!</definedName>
    <definedName name="___DAT16">'[11]WO list'!#REF!</definedName>
    <definedName name="___DAT17">'[11]WO list'!#REF!</definedName>
    <definedName name="___DAT18">#REF!</definedName>
    <definedName name="___DAT19">#REF!</definedName>
    <definedName name="___DAT2">'[11]WO list'!#REF!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'[10]550501-消耗品'!#REF!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'[11]WO list'!#REF!</definedName>
    <definedName name="___DAT5">'[11]WO list'!#REF!</definedName>
    <definedName name="___DAT6">'[11]WO list'!#REF!</definedName>
    <definedName name="___DAT7">'[11]WO list'!#REF!</definedName>
    <definedName name="___DAT8">'[10]550501-消耗品'!#REF!</definedName>
    <definedName name="___DAT9">'[11]WO list'!#REF!</definedName>
    <definedName name="___oup2">#REF!</definedName>
    <definedName name="___R65763">#REF!</definedName>
    <definedName name="___R65789">#REF!</definedName>
    <definedName name="___R68720">#REF!</definedName>
    <definedName name="___RJ11">#REF!</definedName>
    <definedName name="___uup2">'[12]0843-002660-00'!#REF!</definedName>
    <definedName name="__123Graph_ABAL" localSheetId="1" hidden="1">#REF!</definedName>
    <definedName name="__123Graph_ABAL" localSheetId="0" hidden="1">#REF!</definedName>
    <definedName name="__123Graph_F" hidden="1">'[6]O-A'!#REF!</definedName>
    <definedName name="__123Graph_LBL_ABAL" localSheetId="1" hidden="1">#REF!</definedName>
    <definedName name="__123Graph_LBL_ABAL" localSheetId="0" hidden="1">#REF!</definedName>
    <definedName name="__123Graph_XBAL" localSheetId="1" hidden="1">#REF!</definedName>
    <definedName name="__123Graph_XBAL" localSheetId="0" hidden="1">#REF!</definedName>
    <definedName name="__DAT1">'[10]550501-消耗品'!#REF!</definedName>
    <definedName name="__DAT10">'[10]550501-消耗品'!#REF!</definedName>
    <definedName name="__DAT11">'[11]WO list'!#REF!</definedName>
    <definedName name="__DAT12">#REF!</definedName>
    <definedName name="__DAT13">'[11]WO list'!#REF!</definedName>
    <definedName name="__DAT14">'[11]WO list'!#REF!</definedName>
    <definedName name="__DAT15">#REF!</definedName>
    <definedName name="__DAT16">'[11]WO list'!#REF!</definedName>
    <definedName name="__DAT17">'[11]WO list'!#REF!</definedName>
    <definedName name="__DAT18">#REF!</definedName>
    <definedName name="__DAT19">#REF!</definedName>
    <definedName name="__DAT2">'[11]WO list'!#REF!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'[10]550501-消耗品'!#REF!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'[11]WO list'!#REF!</definedName>
    <definedName name="__DAT5">'[11]WO list'!#REF!</definedName>
    <definedName name="__DAT6">'[11]WO list'!#REF!</definedName>
    <definedName name="__DAT7">'[11]WO list'!#REF!</definedName>
    <definedName name="__DAT8">'[10]550501-消耗品'!#REF!</definedName>
    <definedName name="__DAT9">'[11]WO list'!#REF!</definedName>
    <definedName name="__oup2">#REF!</definedName>
    <definedName name="__R65763">#REF!</definedName>
    <definedName name="__R65789">#REF!</definedName>
    <definedName name="__R68720">#REF!</definedName>
    <definedName name="__RJ11">#REF!</definedName>
    <definedName name="__uup2">'[12]0843-002660-00'!#REF!</definedName>
    <definedName name="__xlnm._FilterDatabase_1">#REF!</definedName>
    <definedName name="_1_10_7278" localSheetId="1">#REF!</definedName>
    <definedName name="_1_10_7278" localSheetId="0">#REF!</definedName>
    <definedName name="_10_1001701_7278" localSheetId="1">#REF!</definedName>
    <definedName name="_10_1001701_7278" localSheetId="0">#REF!</definedName>
    <definedName name="_11_14_7278" localSheetId="1">#REF!</definedName>
    <definedName name="_11_14_7278" localSheetId="0">#REF!</definedName>
    <definedName name="_12_43_7278" localSheetId="1">#REF!</definedName>
    <definedName name="_12_43_7278" localSheetId="0">#REF!</definedName>
    <definedName name="_13_1001139_7278" localSheetId="1">#REF!</definedName>
    <definedName name="_13_1001139_7278" localSheetId="0">#REF!</definedName>
    <definedName name="_14_1001138_7278" localSheetId="1">#REF!</definedName>
    <definedName name="_14_1001138_7278" localSheetId="0">#REF!</definedName>
    <definedName name="_15_26_7278" localSheetId="1">#REF!</definedName>
    <definedName name="_15_26_7278" localSheetId="0">#REF!</definedName>
    <definedName name="_16_25_7278" localSheetId="1">#REF!</definedName>
    <definedName name="_16_25_7278" localSheetId="0">#REF!</definedName>
    <definedName name="_17_27_7278" localSheetId="1">#REF!</definedName>
    <definedName name="_17_27_7278" localSheetId="0">#REF!</definedName>
    <definedName name="_18_28_7278" localSheetId="1">#REF!</definedName>
    <definedName name="_18_28_7278" localSheetId="0">#REF!</definedName>
    <definedName name="_19_429_7278" localSheetId="1">#REF!</definedName>
    <definedName name="_19_429_7278" localSheetId="0">#REF!</definedName>
    <definedName name="_1K1_" hidden="1">{#N/A,#N/A,FALSE,"Sheet1"}</definedName>
    <definedName name="_2_239_7278" localSheetId="1">#REF!</definedName>
    <definedName name="_2_239_7278" localSheetId="0">#REF!</definedName>
    <definedName name="_20_430_7278" localSheetId="1">#REF!</definedName>
    <definedName name="_20_430_7278" localSheetId="0">#REF!</definedName>
    <definedName name="_21_1000183_7278" localSheetId="1">#REF!</definedName>
    <definedName name="_21_1000183_7278" localSheetId="0">#REF!</definedName>
    <definedName name="_22_203_7278" localSheetId="1">#REF!</definedName>
    <definedName name="_22_203_7278" localSheetId="0">#REF!</definedName>
    <definedName name="_23_96_7278" localSheetId="1">#REF!</definedName>
    <definedName name="_23_96_7278" localSheetId="0">#REF!</definedName>
    <definedName name="_24_97_7278" localSheetId="1">#REF!</definedName>
    <definedName name="_24_97_7278" localSheetId="0">#REF!</definedName>
    <definedName name="_25_201_7278" localSheetId="1">#REF!</definedName>
    <definedName name="_25_201_7278" localSheetId="0">#REF!</definedName>
    <definedName name="_26_242_7278" localSheetId="1">#REF!</definedName>
    <definedName name="_26_242_7278" localSheetId="0">#REF!</definedName>
    <definedName name="_27_414_7278" localSheetId="1">#REF!</definedName>
    <definedName name="_27_414_7278" localSheetId="0">#REF!</definedName>
    <definedName name="_28_434_7278" localSheetId="1">#REF!</definedName>
    <definedName name="_28_434_7278" localSheetId="0">#REF!</definedName>
    <definedName name="_29_199_7278" localSheetId="1">#REF!</definedName>
    <definedName name="_29_199_7278" localSheetId="0">#REF!</definedName>
    <definedName name="_3_433_7278" localSheetId="1">#REF!</definedName>
    <definedName name="_3_433_7278" localSheetId="0">#REF!</definedName>
    <definedName name="_3_Jan" localSheetId="1">#REF!</definedName>
    <definedName name="_3_Jan" localSheetId="0">#REF!</definedName>
    <definedName name="_30_16_7278" localSheetId="1">#REF!</definedName>
    <definedName name="_30_16_7278" localSheetId="0">#REF!</definedName>
    <definedName name="_30_Aug" localSheetId="1">#REF!</definedName>
    <definedName name="_30_Aug" localSheetId="0">#REF!</definedName>
    <definedName name="_4_11_7278" localSheetId="1">#REF!</definedName>
    <definedName name="_4_11_7278" localSheetId="0">#REF!</definedName>
    <definedName name="_5_42_7278" localSheetId="1">#REF!</definedName>
    <definedName name="_5_42_7278" localSheetId="0">#REF!</definedName>
    <definedName name="_6_241_7278" localSheetId="1">#REF!</definedName>
    <definedName name="_6_241_7278" localSheetId="0">#REF!</definedName>
    <definedName name="_7_38_7278" localSheetId="1">#REF!</definedName>
    <definedName name="_7_38_7278" localSheetId="0">#REF!</definedName>
    <definedName name="_8_39_7278" localSheetId="1">#REF!</definedName>
    <definedName name="_8_39_7278" localSheetId="0">#REF!</definedName>
    <definedName name="_9_16_7278" localSheetId="1">#REF!</definedName>
    <definedName name="_9_16_7278" localSheetId="0">#REF!</definedName>
    <definedName name="_a1">#REF!</definedName>
    <definedName name="_DAT1">#REF!</definedName>
    <definedName name="_DAT10">#REF!</definedName>
    <definedName name="_DAT101">#REF!</definedName>
    <definedName name="_DAT11">#REF!</definedName>
    <definedName name="_DAT111">#REF!</definedName>
    <definedName name="_DAT12">#REF!</definedName>
    <definedName name="_DAT13">'[11]WO list'!#REF!</definedName>
    <definedName name="_DAT14">'[11]WO list'!#REF!</definedName>
    <definedName name="_DAT15">#REF!</definedName>
    <definedName name="_DAT16">'[11]WO list'!#REF!</definedName>
    <definedName name="_DAT17">'[11]WO list'!#REF!</definedName>
    <definedName name="_DAT18">#REF!</definedName>
    <definedName name="_DAT19">#REF!</definedName>
    <definedName name="_DAT2">'[11]WO list'!#REF!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'[10]550501-消耗品'!#REF!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'[11]WO list'!#REF!</definedName>
    <definedName name="_DAT5">'[11]WO list'!#REF!</definedName>
    <definedName name="_DAT6">'[11]WO list'!#REF!</definedName>
    <definedName name="_DAT7">'[11]WO list'!#REF!</definedName>
    <definedName name="_DAT8">'[10]550501-消耗品'!#REF!</definedName>
    <definedName name="_DAT9">'[11]WO list'!#REF!</definedName>
    <definedName name="_Fill" localSheetId="1" hidden="1">#REF!</definedName>
    <definedName name="_Fill" localSheetId="0" hidden="1">#REF!</definedName>
    <definedName name="_Fill." localSheetId="1" hidden="1">#REF!</definedName>
    <definedName name="_Fill." localSheetId="0" hidden="1">#REF!</definedName>
    <definedName name="_xlnm._FilterDatabase" localSheetId="1" hidden="1">'MVA (card）'!$A$2:$AC$111</definedName>
    <definedName name="_xlnm._FilterDatabase" localSheetId="0" hidden="1">'MVA (MB+ws）'!$A$2:$AC$41</definedName>
    <definedName name="_Key1" localSheetId="1" hidden="1">#REF!</definedName>
    <definedName name="_Key1" localSheetId="0" hidden="1">#REF!</definedName>
    <definedName name="_Key1." localSheetId="1" hidden="1">#REF!</definedName>
    <definedName name="_Key1." localSheetId="0" hidden="1">#REF!</definedName>
    <definedName name="_Key2" localSheetId="1" hidden="1">#REF!</definedName>
    <definedName name="_Key2" localSheetId="0" hidden="1">#REF!</definedName>
    <definedName name="_Key2." localSheetId="1" hidden="1">#REF!</definedName>
    <definedName name="_Key2." localSheetId="0" hidden="1">#REF!</definedName>
    <definedName name="_Order1" hidden="1">255</definedName>
    <definedName name="_Order2" hidden="1">0</definedName>
    <definedName name="_oup2">#REF!</definedName>
    <definedName name="_Parse_Out" localSheetId="1" hidden="1">'[42]Price List'!#REF!</definedName>
    <definedName name="_Parse_Out" localSheetId="0" hidden="1">'[42]Price List'!#REF!</definedName>
    <definedName name="_R65763" localSheetId="1">#REF!</definedName>
    <definedName name="_R65763" localSheetId="0">#REF!</definedName>
    <definedName name="_R65789" localSheetId="1">#REF!</definedName>
    <definedName name="_R65789" localSheetId="0">#REF!</definedName>
    <definedName name="_R68720" localSheetId="1">#REF!</definedName>
    <definedName name="_R68720" localSheetId="0">#REF!</definedName>
    <definedName name="_RJ11" localSheetId="1">#REF!</definedName>
    <definedName name="_RJ11" localSheetId="0">#REF!</definedName>
    <definedName name="_S">'[6]O-A'!#REF!</definedName>
    <definedName name="_Sort" localSheetId="1" hidden="1">#REF!</definedName>
    <definedName name="_Sort" localSheetId="0" hidden="1">#REF!</definedName>
    <definedName name="_uup2">'[12]0843-002660-00'!#REF!</definedName>
    <definedName name="a">#REF!</definedName>
    <definedName name="aa">#REF!</definedName>
    <definedName name="ab" hidden="1">[1]Sheet1!#REF!</definedName>
    <definedName name="ac" hidden="1">[1]OT!#REF!</definedName>
    <definedName name="activecodes">[13]codes!$C$5:$D$38</definedName>
    <definedName name="actual">#REF!</definedName>
    <definedName name="ad" localSheetId="1" hidden="1">#REF!</definedName>
    <definedName name="ad" localSheetId="0" hidden="1">#REF!</definedName>
    <definedName name="AFill" hidden="1">[2]IA1!$E$7:$W$7</definedName>
    <definedName name="Apollo_TOP5__查詢">'[14]Apollo_NDF TOP5'!$A$1:$B$5</definedName>
    <definedName name="Aprpcs">#REF!</definedName>
    <definedName name="aprup">#REF!</definedName>
    <definedName name="Ardbeg_Info" localSheetId="1">#REF!</definedName>
    <definedName name="Ardbeg_Info" localSheetId="0">#REF!</definedName>
    <definedName name="ATS">#REF!</definedName>
    <definedName name="attachment1" localSheetId="1">#REF!</definedName>
    <definedName name="attachment1" localSheetId="0">#REF!</definedName>
    <definedName name="attachment2" localSheetId="1">#REF!</definedName>
    <definedName name="attachment2" localSheetId="0">#REF!</definedName>
    <definedName name="AU" hidden="1">{"'sheet(22) (22)'!$A$64:$K$79"}</definedName>
    <definedName name="b">#REF!</definedName>
    <definedName name="B.P.">#REF!</definedName>
    <definedName name="B_P_">#REF!</definedName>
    <definedName name="bd1.2">[15]comp!$C$1:$C$65536</definedName>
    <definedName name="BD1M">#REF!</definedName>
    <definedName name="bd1x">'[16]BD1 Cost M'!$A:$IV</definedName>
    <definedName name="BD2T">#REF!</definedName>
    <definedName name="bd2x">'[16]BD2 Cost M'!$A:$IV</definedName>
    <definedName name="BD3W">#REF!</definedName>
    <definedName name="bd3x">'[16]BD3 Cost M'!$A:$IV</definedName>
    <definedName name="bdhigher">#REF!</definedName>
    <definedName name="BDHIP">#REF!</definedName>
    <definedName name="BDLOP">#REF!</definedName>
    <definedName name="bdlower">#REF!</definedName>
    <definedName name="BDrate">'[16]BD1 Cost M'!$B$10</definedName>
    <definedName name="BM">'[17]choose list'!$A$2:$A$16</definedName>
    <definedName name="BM_3">'[18]choose list'!$A$2:$A$16</definedName>
    <definedName name="BM_4">#REF!</definedName>
    <definedName name="BM_6">'[18]choose list'!$A$2:$A$16</definedName>
    <definedName name="BM_7">'[18]choose list'!$A$2:$A$16</definedName>
    <definedName name="BM_8">'[18]choose list'!$A$2:$A$16</definedName>
    <definedName name="body1" localSheetId="1">#REF!</definedName>
    <definedName name="body1" localSheetId="0">#REF!</definedName>
    <definedName name="bom_smt_3" localSheetId="1">#REF!</definedName>
    <definedName name="bom_smt_3" localSheetId="0">#REF!</definedName>
    <definedName name="bomcost">#REF!</definedName>
    <definedName name="bomitem">#REF!</definedName>
    <definedName name="bomref1">#REF!</definedName>
    <definedName name="Brew_mech" localSheetId="1">#REF!</definedName>
    <definedName name="Brew_mech" localSheetId="0">#REF!</definedName>
    <definedName name="BuiltIn_Print_Area___0">#REF!</definedName>
    <definedName name="Carol" hidden="1">{#N/A,#N/A,FALSE,"Sheet1"}</definedName>
    <definedName name="Carry" localSheetId="1">#REF!</definedName>
    <definedName name="Carry" localSheetId="0">#REF!</definedName>
    <definedName name="Carry_1" localSheetId="1">'[43]8866-960001-02'!#REF!</definedName>
    <definedName name="Carry_1" localSheetId="0">'[43]8866-960001-02'!#REF!</definedName>
    <definedName name="CBfee">[19]二廠!#REF!</definedName>
    <definedName name="CHECK">#REF!</definedName>
    <definedName name="CHF">#REF!</definedName>
    <definedName name="choice">#REF!</definedName>
    <definedName name="Classification" localSheetId="1">[44]Severity!$A$15:$A$17</definedName>
    <definedName name="Classification" localSheetId="0">[44]Severity!$A$15:$A$17</definedName>
    <definedName name="Commision_rate">#REF!</definedName>
    <definedName name="ComponentType">'[20]Final Sheet'!#REF!</definedName>
    <definedName name="cost">[21]ref!$B$7</definedName>
    <definedName name="COURS">#REF!</definedName>
    <definedName name="csDesignMode">1</definedName>
    <definedName name="d">#REF!</definedName>
    <definedName name="da" localSheetId="1" hidden="1">#REF!</definedName>
    <definedName name="da" localSheetId="0" hidden="1">#REF!</definedName>
    <definedName name="DAT_1">'[10]550501-消耗品'!#REF!</definedName>
    <definedName name="DAT_10">'[10]550501-消耗品'!#REF!</definedName>
    <definedName name="DATA1" localSheetId="1">#REF!</definedName>
    <definedName name="DATA1" localSheetId="0">#REF!</definedName>
    <definedName name="DATA10" localSheetId="1">#REF!</definedName>
    <definedName name="DATA10" localSheetId="0">#REF!</definedName>
    <definedName name="DATA11" localSheetId="1">#REF!</definedName>
    <definedName name="DATA11" localSheetId="0">#REF!</definedName>
    <definedName name="DATA12" localSheetId="1">#REF!</definedName>
    <definedName name="DATA12" localSheetId="0">#REF!</definedName>
    <definedName name="DATA13" localSheetId="1">#REF!</definedName>
    <definedName name="DATA13" localSheetId="0">#REF!</definedName>
    <definedName name="DATA14" localSheetId="1">#REF!</definedName>
    <definedName name="DATA14" localSheetId="0">#REF!</definedName>
    <definedName name="DATA15" localSheetId="1">#REF!</definedName>
    <definedName name="DATA15" localSheetId="0">#REF!</definedName>
    <definedName name="DATA16" localSheetId="1">#REF!</definedName>
    <definedName name="DATA16" localSheetId="0">#REF!</definedName>
    <definedName name="DATA17" localSheetId="1">#REF!</definedName>
    <definedName name="DATA17" localSheetId="0">#REF!</definedName>
    <definedName name="DATA18" localSheetId="1">#REF!</definedName>
    <definedName name="DATA18" localSheetId="0">#REF!</definedName>
    <definedName name="DATA19" localSheetId="1">#REF!</definedName>
    <definedName name="DATA19" localSheetId="0">#REF!</definedName>
    <definedName name="DATA2" localSheetId="1">#REF!</definedName>
    <definedName name="DATA2" localSheetId="0">#REF!</definedName>
    <definedName name="DATA20" localSheetId="1">#REF!</definedName>
    <definedName name="DATA20" localSheetId="0">#REF!</definedName>
    <definedName name="DATA21" localSheetId="1">#REF!</definedName>
    <definedName name="DATA21" localSheetId="0">#REF!</definedName>
    <definedName name="DATA22" localSheetId="1">#REF!</definedName>
    <definedName name="DATA22" localSheetId="0">#REF!</definedName>
    <definedName name="DATA23" localSheetId="1">#REF!</definedName>
    <definedName name="DATA23" localSheetId="0">#REF!</definedName>
    <definedName name="DATA24" localSheetId="1">#REF!</definedName>
    <definedName name="DATA24" localSheetId="0">#REF!</definedName>
    <definedName name="DATA25" localSheetId="1">#REF!</definedName>
    <definedName name="DATA25" localSheetId="0">#REF!</definedName>
    <definedName name="DATA26" localSheetId="1">#REF!</definedName>
    <definedName name="DATA26" localSheetId="0">#REF!</definedName>
    <definedName name="DATA27" localSheetId="1">#REF!</definedName>
    <definedName name="DATA27" localSheetId="0">#REF!</definedName>
    <definedName name="DATA28" localSheetId="1">#REF!</definedName>
    <definedName name="DATA28" localSheetId="0">#REF!</definedName>
    <definedName name="DATA29" localSheetId="1">#REF!</definedName>
    <definedName name="DATA29" localSheetId="0">#REF!</definedName>
    <definedName name="DATA3" localSheetId="1">#REF!</definedName>
    <definedName name="DATA3" localSheetId="0">#REF!</definedName>
    <definedName name="DATA30" localSheetId="1">#REF!</definedName>
    <definedName name="DATA30" localSheetId="0">#REF!</definedName>
    <definedName name="DATA31" localSheetId="1">#REF!</definedName>
    <definedName name="DATA31" localSheetId="0">#REF!</definedName>
    <definedName name="DATA32" localSheetId="1">#REF!</definedName>
    <definedName name="DATA32" localSheetId="0">#REF!</definedName>
    <definedName name="DATA33" localSheetId="1">#REF!</definedName>
    <definedName name="DATA33" localSheetId="0">#REF!</definedName>
    <definedName name="DATA34" localSheetId="1">#REF!</definedName>
    <definedName name="DATA34" localSheetId="0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1">#REF!</definedName>
    <definedName name="DATA4" localSheetId="0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 localSheetId="1">#REF!</definedName>
    <definedName name="DATA5" localSheetId="0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 localSheetId="1">#REF!</definedName>
    <definedName name="DATA6" localSheetId="0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 localSheetId="1">#REF!</definedName>
    <definedName name="DATA7" localSheetId="0">#REF!</definedName>
    <definedName name="DATA70">#REF!</definedName>
    <definedName name="DATA8" localSheetId="1">#REF!</definedName>
    <definedName name="DATA8" localSheetId="0">#REF!</definedName>
    <definedName name="DATA9" localSheetId="1">#REF!</definedName>
    <definedName name="DATA9" localSheetId="0">#REF!</definedName>
    <definedName name="_xlnm.Database" localSheetId="1">#REF!</definedName>
    <definedName name="_xlnm.Database" localSheetId="0">#REF!</definedName>
    <definedName name="DateFG0">'[22]Act Built'!$A$2:$IV$2</definedName>
    <definedName name="dd">#REF!</definedName>
    <definedName name="DDD">#REF!</definedName>
    <definedName name="dddd">#REF!</definedName>
    <definedName name="dddddfw">#REF!</definedName>
    <definedName name="de3f2" hidden="1">{#N/A,#N/A,FALSE,"Sheet1"}</definedName>
    <definedName name="defend">#REF!</definedName>
    <definedName name="defend2">[15]comp!$B$1:$B$65536</definedName>
    <definedName name="defind">#REF!</definedName>
    <definedName name="del">#REF!</definedName>
    <definedName name="DEM">#REF!</definedName>
    <definedName name="demand">[23]Combined!$A$6:$AU$94</definedName>
    <definedName name="des">#REF!</definedName>
    <definedName name="Detection_1" localSheetId="1">'[44]Detection &amp; Prevention'!$E$4:$E$14</definedName>
    <definedName name="Detection_1" localSheetId="0">'[44]Detection &amp; Prevention'!$E$4:$E$14</definedName>
    <definedName name="DEVISE">#REF!</definedName>
    <definedName name="DEVISE_CONV">#REF!</definedName>
    <definedName name="dfww">#REF!</definedName>
    <definedName name="ds" localSheetId="1" hidden="1">#REF!</definedName>
    <definedName name="ds" localSheetId="0" hidden="1">#REF!</definedName>
    <definedName name="ED" hidden="1">{"'sheet(22) (22)'!$A$64:$K$79"}</definedName>
    <definedName name="EE">'[24]O-A'!#REF!</definedName>
    <definedName name="Engineer">#REF!</definedName>
    <definedName name="Engineer2">[25]Sheet2!$A$2:$A$100</definedName>
    <definedName name="enginner">#REF!</definedName>
    <definedName name="EO_Mech" localSheetId="1">#REF!</definedName>
    <definedName name="EO_Mech" localSheetId="0">#REF!</definedName>
    <definedName name="erase" hidden="1">[1]Sheet1!$E$39:$E$43</definedName>
    <definedName name="eraseme" hidden="1">[1]Sheet1!#REF!</definedName>
    <definedName name="ESP">#REF!</definedName>
    <definedName name="EUR">41</definedName>
    <definedName name="Excel_BuiltIn_Database">#REF!</definedName>
    <definedName name="Excel_BuiltIn_Print_Area">#REF!</definedName>
    <definedName name="Excel_BuiltIn_Print_Titles">#REF!</definedName>
    <definedName name="Excel_BuiltIn_Recorder">NA()</definedName>
    <definedName name="Exchange_rate" localSheetId="1">#REF!</definedName>
    <definedName name="Exchange_rate" localSheetId="0">#REF!</definedName>
    <definedName name="Factor" localSheetId="1">#REF!</definedName>
    <definedName name="Factor" localSheetId="0">#REF!</definedName>
    <definedName name="FCSTWK34">#REF!</definedName>
    <definedName name="FCT">#REF!</definedName>
    <definedName name="fdsfsdfdsf" localSheetId="1" hidden="1">'[45]Issues List'!#REF!</definedName>
    <definedName name="fdsfsdfdsf" localSheetId="0" hidden="1">'[45]Issues List'!#REF!</definedName>
    <definedName name="feb">#REF!</definedName>
    <definedName name="febpcs">#REF!</definedName>
    <definedName name="febup">#REF!</definedName>
    <definedName name="Fecha" localSheetId="1">#REF!</definedName>
    <definedName name="Fecha" localSheetId="0">#REF!</definedName>
    <definedName name="ff">#REF!</definedName>
    <definedName name="FINALIZED_PRINT_AREA" localSheetId="1">#REF!</definedName>
    <definedName name="FINALIZED_PRINT_AREA" localSheetId="0">#REF!</definedName>
    <definedName name="fob">'[26]Trooper P&amp;Q Matrix'!#REF!</definedName>
    <definedName name="formfactor">'[17]choose list'!$B$2:$B$32</definedName>
    <definedName name="formfactor_3">'[18]choose list'!$B$2:$B$32</definedName>
    <definedName name="formfactor_4">#REF!</definedName>
    <definedName name="formfactor_6">'[18]choose list'!$B$2:$B$32</definedName>
    <definedName name="formfactor_7">'[18]choose list'!$B$2:$B$32</definedName>
    <definedName name="formfactor_8">'[18]choose list'!$B$2:$B$32</definedName>
    <definedName name="Fremont">'[27]Reschedule-Reconfirm'!$A$64:$A$65</definedName>
    <definedName name="FRF">#REF!</definedName>
    <definedName name="frfrgw" hidden="1">{#N/A,#N/A,FALSE,"Sheet1"}</definedName>
    <definedName name="FRU" localSheetId="1">#REF!</definedName>
    <definedName name="FRU" localSheetId="0">#REF!</definedName>
    <definedName name="GBP">#REF!</definedName>
    <definedName name="gead">[28]ref!$E$9</definedName>
    <definedName name="Generate_Forecast_Feed_for_Date" localSheetId="1">#REF!</definedName>
    <definedName name="Generate_Forecast_Feed_for_Date" localSheetId="0">#REF!</definedName>
    <definedName name="Generate_Request_Feed_for_Date" localSheetId="1">#REF!</definedName>
    <definedName name="Generate_Request_Feed_for_Date" localSheetId="0">#REF!</definedName>
    <definedName name="Glen_Ord_Info" localSheetId="1">#REF!</definedName>
    <definedName name="Glen_Ord_Info" localSheetId="0">#REF!</definedName>
    <definedName name="grade">#REF!</definedName>
    <definedName name="Header">#REF!</definedName>
    <definedName name="Header_Codes" localSheetId="1">#REF!</definedName>
    <definedName name="Header_Codes" localSheetId="0">#REF!</definedName>
    <definedName name="hhjhh" localSheetId="1" hidden="1">'[45]Issues List'!#REF!</definedName>
    <definedName name="hhjhh" localSheetId="0" hidden="1">'[45]Issues List'!#REF!</definedName>
    <definedName name="HTML_CodePage" hidden="1">950</definedName>
    <definedName name="HTML_Control" hidden="1">{"'MODIFY &amp; REPARE '!$B$1:$S$27"}</definedName>
    <definedName name="HTML_Description" hidden="1">""</definedName>
    <definedName name="HTML_Email" hidden="1">""</definedName>
    <definedName name="HTML_Header" hidden="1">""</definedName>
    <definedName name="HTML_LastUpdate" hidden="1">"1999/3/11"</definedName>
    <definedName name="HTML_LineAfter" hidden="1">FALSE</definedName>
    <definedName name="HTML_LineBefore" hidden="1">FALSE</definedName>
    <definedName name="HTML_Name" hidden="1">"Akina Chih"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"\\Akina\M1I5\HTML\schedule\tifa.htm"</definedName>
    <definedName name="HTML_PathTemplate" hidden="1">"C:\WEBSHARE\WWWROOT\Compal\DELL\TWISTER\Packing\Cosmetic\dellpctwd.htm"</definedName>
    <definedName name="HTML_Title" hidden="1">""</definedName>
    <definedName name="HTML1_1" hidden="1">"'[anly9705.xls]EM02'!$A$1:$H$38"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"anly9705"</definedName>
    <definedName name="HTML1_4" hidden="1">"EM02"</definedName>
    <definedName name="HTML1_5" hidden="1">""</definedName>
    <definedName name="HTML1_6" hidden="1">-4146</definedName>
    <definedName name="HTML1_7" hidden="1">-4146</definedName>
    <definedName name="HTML1_8" hidden="1">"1997/7/7"</definedName>
    <definedName name="HTML1_9" hidden="1">"mis1"</definedName>
    <definedName name="HTMLCount" hidden="1">1</definedName>
    <definedName name="IA" hidden="1">[3]IA1!$D$7:$N$7</definedName>
    <definedName name="ICT">#REF!</definedName>
    <definedName name="Internal">#REF!</definedName>
    <definedName name="IPQC不良率週查詢">#REF!</definedName>
    <definedName name="janpcs">#REF!</definedName>
    <definedName name="janup">#REF!</definedName>
    <definedName name="Jason" localSheetId="1">#REF!</definedName>
    <definedName name="Jason" localSheetId="0">#REF!</definedName>
    <definedName name="JEFF" localSheetId="1">#REF!</definedName>
    <definedName name="JEFF" localSheetId="0">#REF!</definedName>
    <definedName name="jkjij" localSheetId="1" hidden="1">'[45]Issues List'!#REF!</definedName>
    <definedName name="jkjij" localSheetId="0" hidden="1">'[45]Issues List'!#REF!</definedName>
    <definedName name="JPY">#REF!</definedName>
    <definedName name="Junpcs">#REF!</definedName>
    <definedName name="Junup">#REF!</definedName>
    <definedName name="k" hidden="1">{#N/A,#N/A,FALSE,"Sheet1"}</definedName>
    <definedName name="Keyboard" localSheetId="1">#REF!</definedName>
    <definedName name="Keyboard" localSheetId="0">#REF!</definedName>
    <definedName name="Language_Keyboards" localSheetId="1">#REF!</definedName>
    <definedName name="Language_Keyboards" localSheetId="0">#REF!</definedName>
    <definedName name="Line_Cord" localSheetId="1">#REF!</definedName>
    <definedName name="Line_Cord" localSheetId="0">#REF!</definedName>
    <definedName name="liteon" localSheetId="1" hidden="1">#REF!</definedName>
    <definedName name="liteon" localSheetId="0" hidden="1">#REF!</definedName>
    <definedName name="lkpokop" hidden="1">{#N/A,#N/A,FALSE,"Sheet1"}</definedName>
    <definedName name="localfright">[28]ref!$E$29</definedName>
    <definedName name="Lot_Size">#REF!</definedName>
    <definedName name="m2q">#REF!</definedName>
    <definedName name="m2q11">#REF!</definedName>
    <definedName name="m3q">#REF!</definedName>
    <definedName name="m3q11">#REF!</definedName>
    <definedName name="Manufacture">#REF!</definedName>
    <definedName name="maov">[28]ref!$E$8</definedName>
    <definedName name="margin">[28]ref!$E$10</definedName>
    <definedName name="marpcs">#REF!</definedName>
    <definedName name="marup">[15]comp!$X$1:$X$65536</definedName>
    <definedName name="mat_3d">[29]DELL_Schedule!#REF!</definedName>
    <definedName name="mat_66">[29]DELL_Schedule!#REF!</definedName>
    <definedName name="mat_765">[29]DELL_Schedule!#REF!</definedName>
    <definedName name="mat_ark">[29]DELL_Schedule!#REF!</definedName>
    <definedName name="mat_tele">[29]DELL_Schedule!#REF!</definedName>
    <definedName name="mat_virge">[29]DELL_Schedule!#REF!</definedName>
    <definedName name="materia">#REF!</definedName>
    <definedName name="Material">#REF!</definedName>
    <definedName name="Maypcs">#REF!</definedName>
    <definedName name="Mayup">#REF!</definedName>
    <definedName name="Memory" localSheetId="1">#REF!</definedName>
    <definedName name="Memory" localSheetId="0">#REF!</definedName>
    <definedName name="merlot">#REF!</definedName>
    <definedName name="MFG_20050621">#REF!</definedName>
    <definedName name="mfgma">[28]ref!$E$6</definedName>
    <definedName name="MOB">#REF!</definedName>
    <definedName name="Modem" localSheetId="1">#REF!</definedName>
    <definedName name="Modem" localSheetId="0">#REF!</definedName>
    <definedName name="monref">#REF!</definedName>
    <definedName name="Motherboard" localSheetId="1">#REF!</definedName>
    <definedName name="Motherboard" localSheetId="0">#REF!</definedName>
    <definedName name="mpcost">#REF!</definedName>
    <definedName name="MPrate">'[16]BD1 Cost M'!$A$10</definedName>
    <definedName name="NBD">'[30]choose list'!$G$2:$G$4</definedName>
    <definedName name="NBD_3">'[31]choose list'!$G$2:$G$4</definedName>
    <definedName name="NBD_4">#REF!</definedName>
    <definedName name="NBD_6">'[31]choose list'!$G$2:$G$4</definedName>
    <definedName name="NBD_7">'[31]choose list'!$G$2:$G$4</definedName>
    <definedName name="NBD_8">'[31]choose list'!$G$2:$G$4</definedName>
    <definedName name="NEWBOM">#REF!</definedName>
    <definedName name="newpn">#REF!</definedName>
    <definedName name="NTDxrate13">[32]Xrate!$C$54</definedName>
    <definedName name="OB" localSheetId="1">#REF!</definedName>
    <definedName name="OB" localSheetId="0">#REF!</definedName>
    <definedName name="OBCDDDD" localSheetId="1">#REF!</definedName>
    <definedName name="OBCDDDD" localSheetId="0">#REF!</definedName>
    <definedName name="Occurrence_1" localSheetId="1">[44]Occurrence!$F$4:$F$14</definedName>
    <definedName name="Occurrence_1" localSheetId="0">[44]Occurrence!$F$4:$F$14</definedName>
    <definedName name="Odyssey_Memory" localSheetId="1">#REF!</definedName>
    <definedName name="Odyssey_Memory" localSheetId="0">#REF!</definedName>
    <definedName name="Odyssey_Optical_Drives" localSheetId="1">#REF!</definedName>
    <definedName name="Odyssey_Optical_Drives" localSheetId="0">#REF!</definedName>
    <definedName name="oldpn">#REF!</definedName>
    <definedName name="olj" hidden="1">{#N/A,#N/A,FALSE,"Sheet1"}</definedName>
    <definedName name="Operator" localSheetId="1">#REF!</definedName>
    <definedName name="Operator" localSheetId="0">#REF!</definedName>
    <definedName name="Optical" localSheetId="1">#REF!</definedName>
    <definedName name="Optical" localSheetId="0">#REF!</definedName>
    <definedName name="oup">#REF!</definedName>
    <definedName name="OXM">'[17]choose list'!$E$2:$E$5</definedName>
    <definedName name="OXM_3">'[18]choose list'!$E$2:$E$5</definedName>
    <definedName name="OXM_4">#REF!</definedName>
    <definedName name="OXM_6">'[18]choose list'!$E$2:$E$5</definedName>
    <definedName name="OXM_7">'[18]choose list'!$E$2:$E$5</definedName>
    <definedName name="OXM_8">'[18]choose list'!$E$2:$E$5</definedName>
    <definedName name="P">#REF!</definedName>
    <definedName name="P_N">#REF!</definedName>
    <definedName name="packing">[28]ref!$E$5</definedName>
    <definedName name="packingma">[28]ref!$E$7</definedName>
    <definedName name="part" hidden="1">'[4]Issues List'!#REF!</definedName>
    <definedName name="Parts_Specific_to_Brewster" localSheetId="1">#REF!</definedName>
    <definedName name="Parts_Specific_to_Brewster" localSheetId="0">#REF!</definedName>
    <definedName name="Parts_Specific_to_Eastham_and_Orleans" localSheetId="1">#REF!</definedName>
    <definedName name="Parts_Specific_to_Eastham_and_Orleans" localSheetId="0">#REF!</definedName>
    <definedName name="Payment">#REF!</definedName>
    <definedName name="pcbpk">#REF!</definedName>
    <definedName name="PD1F1">#REF!</definedName>
    <definedName name="PD2F1">#REF!</definedName>
    <definedName name="PD2Fee">[19]二廠!#REF!</definedName>
    <definedName name="PD5Fee">[19]二廠!#REF!</definedName>
    <definedName name="Pla" localSheetId="1" hidden="1">'[46]Issues List'!#REF!</definedName>
    <definedName name="Pla" localSheetId="0" hidden="1">'[46]Issues List'!#REF!</definedName>
    <definedName name="Planar" localSheetId="1">#REF!</definedName>
    <definedName name="Planar" localSheetId="0">#REF!</definedName>
    <definedName name="Power_Brick" localSheetId="1">#REF!</definedName>
    <definedName name="Power_Brick" localSheetId="0">#REF!</definedName>
    <definedName name="Power_Cord" localSheetId="1">#REF!</definedName>
    <definedName name="Power_Cord" localSheetId="0">#REF!</definedName>
    <definedName name="price">#REF!</definedName>
    <definedName name="PRINT">#REF!</definedName>
    <definedName name="_xlnm.Print_Area" localSheetId="1">#REF!</definedName>
    <definedName name="_xlnm.Print_Area" localSheetId="0">#REF!</definedName>
    <definedName name="PRINT_AREA_MI">#REF!</definedName>
    <definedName name="Print_Jeff" localSheetId="1">#REF!</definedName>
    <definedName name="Print_Jeff" localSheetId="0">#REF!</definedName>
    <definedName name="_xlnm.Print_Titles">#REF!</definedName>
    <definedName name="PRINTAREA" localSheetId="1">#REF!</definedName>
    <definedName name="PRINTAREA" localSheetId="0">#REF!</definedName>
    <definedName name="Profit_rate">#REF!</definedName>
    <definedName name="project">(#REF!,#REF!,#REF!,#REF!,#REF!,#REF!,#REF!,#REF!,#REF!,#REF!,#REF!,#REF!)</definedName>
    <definedName name="pth">[28]ref!$E$3</definedName>
    <definedName name="q">#REF!</definedName>
    <definedName name="Q1pcs">#REF!</definedName>
    <definedName name="Q1up">#REF!</definedName>
    <definedName name="Q2pcs">#REF!</definedName>
    <definedName name="q2q">#REF!</definedName>
    <definedName name="Q2up">#REF!</definedName>
    <definedName name="qqq">#REF!</definedName>
    <definedName name="qt">#REF!</definedName>
    <definedName name="qty">#REF!</definedName>
    <definedName name="Query1___SMTC_MPP_Only">#REF!</definedName>
    <definedName name="Quotation_QTY">#REF!</definedName>
    <definedName name="quote">#REF!</definedName>
    <definedName name="rate">#REF!</definedName>
    <definedName name="ratexx">#REF!</definedName>
    <definedName name="RawData">#REF!</definedName>
    <definedName name="Reas">'[33]Reschedule-Reconfirm'!$A$68:$A$81</definedName>
    <definedName name="Recorder" hidden="1">#N/A</definedName>
    <definedName name="ref">#REF!</definedName>
    <definedName name="RJ11_Connectors" localSheetId="1">#REF!</definedName>
    <definedName name="RJ11_Connectors" localSheetId="0">#REF!</definedName>
    <definedName name="rngxl2" localSheetId="1">#REF!</definedName>
    <definedName name="rngxl2" localSheetId="0">#REF!</definedName>
    <definedName name="SALES">#REF!</definedName>
    <definedName name="sb">#REF!</definedName>
    <definedName name="SDDD">#REF!</definedName>
    <definedName name="segfdfhgf" hidden="1">'[5]Issues List'!#REF!</definedName>
    <definedName name="Severity_1" localSheetId="1">[44]Severity!$D$4:$D$14</definedName>
    <definedName name="Severity_1" localSheetId="0">[44]Severity!$D$4:$D$14</definedName>
    <definedName name="smt">[28]ref!$E$2</definedName>
    <definedName name="SMT_A2" localSheetId="1">#REF!</definedName>
    <definedName name="SMT_A2" localSheetId="0">#REF!</definedName>
    <definedName name="SMT_A2_1" localSheetId="1">'[43]8866-960001-02'!#REF!</definedName>
    <definedName name="SMT_A2_1" localSheetId="0">'[43]8866-960001-02'!#REF!</definedName>
    <definedName name="SMT_G" localSheetId="1">#REF!</definedName>
    <definedName name="SMT_G" localSheetId="0">#REF!</definedName>
    <definedName name="SMT_G_1" localSheetId="1">'[43]8866-960001-02'!#REF!</definedName>
    <definedName name="SMT_G_1" localSheetId="0">'[43]8866-960001-02'!#REF!</definedName>
    <definedName name="SMT_H" localSheetId="1">#REF!</definedName>
    <definedName name="SMT_H" localSheetId="0">#REF!</definedName>
    <definedName name="SMT_H_1" localSheetId="1">'[43]8866-960001-02'!#REF!</definedName>
    <definedName name="SMT_H_1" localSheetId="0">'[43]8866-960001-02'!#REF!</definedName>
    <definedName name="SMT_JQR線" localSheetId="1">#REF!</definedName>
    <definedName name="SMT_JQR線" localSheetId="0">#REF!</definedName>
    <definedName name="SMT_JQR線_1" localSheetId="1">'[43]8866-960001-02'!#REF!</definedName>
    <definedName name="SMT_JQR線_1" localSheetId="0">'[43]8866-960001-02'!#REF!</definedName>
    <definedName name="SMT_KA1" localSheetId="1">#REF!</definedName>
    <definedName name="SMT_KA1" localSheetId="0">#REF!</definedName>
    <definedName name="SMT_KA1_1" localSheetId="1">'[43]8866-960001-02'!#REF!</definedName>
    <definedName name="SMT_KA1_1" localSheetId="0">'[43]8866-960001-02'!#REF!</definedName>
    <definedName name="SMT_L11" localSheetId="1">#REF!</definedName>
    <definedName name="SMT_L11" localSheetId="0">#REF!</definedName>
    <definedName name="SMT_L11_1" localSheetId="1">'[43]8866-960001-02'!#REF!</definedName>
    <definedName name="SMT_L11_1" localSheetId="0">'[43]8866-960001-02'!#REF!</definedName>
    <definedName name="SMT_MN" localSheetId="1">#REF!</definedName>
    <definedName name="SMT_MN" localSheetId="0">#REF!</definedName>
    <definedName name="SMT_MN_1" localSheetId="1">'[43]8866-960001-02'!#REF!</definedName>
    <definedName name="SMT_MN_1" localSheetId="0">'[43]8866-960001-02'!#REF!</definedName>
    <definedName name="SMT_零_件_總_數" localSheetId="1">#REF!</definedName>
    <definedName name="SMT_零_件_總_數" localSheetId="0">#REF!</definedName>
    <definedName name="SMT設備稼動資料表">#REF!</definedName>
    <definedName name="Soft_Modem" localSheetId="1">#REF!</definedName>
    <definedName name="Soft_Modem" localSheetId="0">#REF!</definedName>
    <definedName name="Sort">'[34]MP FPY Trend Chart'!$C$27:$C$32</definedName>
    <definedName name="sp">#REF!</definedName>
    <definedName name="Speakers" localSheetId="1">#REF!</definedName>
    <definedName name="Speakers" localSheetId="0">#REF!</definedName>
    <definedName name="Speyburn2_Info" localSheetId="1">#REF!</definedName>
    <definedName name="Speyburn2_Info" localSheetId="0">#REF!</definedName>
    <definedName name="ss" localSheetId="1">#REF!</definedName>
    <definedName name="ss" localSheetId="0">#REF!</definedName>
    <definedName name="ssci_with_pending" localSheetId="1">#REF!</definedName>
    <definedName name="ssci_with_pending" localSheetId="0">#REF!</definedName>
    <definedName name="sss">#REF!</definedName>
    <definedName name="status">'[17]choose list'!$F$2:$F$5</definedName>
    <definedName name="status_3">'[18]choose list'!$F$2:$F$5</definedName>
    <definedName name="status_4">#REF!</definedName>
    <definedName name="status_6">'[18]choose list'!$F$2:$F$5</definedName>
    <definedName name="status_7">'[18]choose list'!$F$2:$F$5</definedName>
    <definedName name="status_8">'[18]choose list'!$F$2:$F$5</definedName>
    <definedName name="Stewart2" localSheetId="1">#REF!</definedName>
    <definedName name="Stewart2" localSheetId="0">#REF!</definedName>
    <definedName name="Stiletto_TOP5_查詢">[35]Stiletto_TOP5!$A$1:$D$34</definedName>
    <definedName name="TableName">"Dummy"</definedName>
    <definedName name="technology">'[17]choose list'!$C$2:$C$17</definedName>
    <definedName name="technology_3">'[18]choose list'!$C$2:$C$17</definedName>
    <definedName name="technology_4">#REF!</definedName>
    <definedName name="technology_6">'[18]choose list'!$C$2:$C$17</definedName>
    <definedName name="technology_7">'[18]choose list'!$C$2:$C$17</definedName>
    <definedName name="technology_8">'[18]choose list'!$C$2:$C$17</definedName>
    <definedName name="Temd">#REF!</definedName>
    <definedName name="temp">#REF!</definedName>
    <definedName name="test">[28]ref!$E$4</definedName>
    <definedName name="TEST0" localSheetId="1">#REF!</definedName>
    <definedName name="TEST0" localSheetId="0">#REF!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 localSheetId="1">#REF!</definedName>
    <definedName name="TESTHKEY" localSheetId="0">#REF!</definedName>
    <definedName name="TESTKEYS" localSheetId="1">#REF!</definedName>
    <definedName name="TESTKEYS" localSheetId="0">#REF!</definedName>
    <definedName name="TESTVKEY" localSheetId="1">#REF!</definedName>
    <definedName name="TESTVKEY" localSheetId="0">#REF!</definedName>
    <definedName name="thmh">[28]ref!$E$19</definedName>
    <definedName name="Tokyo_TOP5_查詢">[35]Tokyo_TOP5!$A$1:$D$22</definedName>
    <definedName name="Tormore_Info" localSheetId="1">#REF!</definedName>
    <definedName name="Tormore_Info" localSheetId="0">#REF!</definedName>
    <definedName name="TotalFeeF1">#REF!</definedName>
    <definedName name="TotalFeeF3">[19]一廠!#REF!</definedName>
    <definedName name="TP">'[17]choose list'!$D$2:$D$19</definedName>
    <definedName name="TP_3">'[18]choose list'!$D$2:$D$19</definedName>
    <definedName name="TP_4">#REF!</definedName>
    <definedName name="TP_6">'[18]choose list'!$D$2:$D$19</definedName>
    <definedName name="TP_7">'[18]choose list'!$D$2:$D$19</definedName>
    <definedName name="TP_8">'[18]choose list'!$D$2:$D$19</definedName>
    <definedName name="trr">#REF!</definedName>
    <definedName name="ty">#REF!</definedName>
    <definedName name="type">[36]分類表!$A$2:$D$65</definedName>
    <definedName name="Types">#REF!</definedName>
    <definedName name="UNIT">#REF!</definedName>
    <definedName name="UnityWIOshield">#REF!</definedName>
    <definedName name="USD">31</definedName>
    <definedName name="USD_N">#REF!</definedName>
    <definedName name="User">'[33]Reschedule-Reconfirm'!$A$64:$A$65</definedName>
    <definedName name="USI" localSheetId="1">#REF!</definedName>
    <definedName name="USI" localSheetId="0">#REF!</definedName>
    <definedName name="uup">'[9]0843-002970-00'!#REF!</definedName>
    <definedName name="VDET">#REF!</definedName>
    <definedName name="ver">#REF!</definedName>
    <definedName name="w" localSheetId="1" hidden="1">#REF!</definedName>
    <definedName name="w" localSheetId="0" hidden="1">#REF!</definedName>
    <definedName name="WK">#REF!</definedName>
    <definedName name="work1">#REF!</definedName>
    <definedName name="work2">#REF!</definedName>
    <definedName name="work3">#REF!</definedName>
    <definedName name="work4pk">#REF!</definedName>
    <definedName name="workrate">#REF!</definedName>
    <definedName name="wq" localSheetId="1">#REF!</definedName>
    <definedName name="wq" localSheetId="0">#REF!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test." hidden="1">{#N/A,#N/A,FALSE,"Sheet1"}</definedName>
    <definedName name="WW_SUM_Mfg_Mtl">#REF!</definedName>
    <definedName name="WWW">'[18]choose list'!$E$2:$E$5</definedName>
    <definedName name="xx">'[37]O-A'!#REF!</definedName>
    <definedName name="YesNo">#REF!</definedName>
    <definedName name="yy">[38]PD2!$L$2:$L$54</definedName>
    <definedName name="Z_06685B21_AA05_11D2_AA72_00C04FCC440D_.wvu.Cols" localSheetId="1" hidden="1">#REF!</definedName>
    <definedName name="Z_06685B21_AA05_11D2_AA72_00C04FCC440D_.wvu.Cols" localSheetId="0" hidden="1">#REF!</definedName>
    <definedName name="Z_06685B21_AA05_11D2_AA72_00C04FCC440D_.wvu.PrintArea" localSheetId="1" hidden="1">#REF!</definedName>
    <definedName name="Z_06685B21_AA05_11D2_AA72_00C04FCC440D_.wvu.PrintArea" localSheetId="0" hidden="1">#REF!</definedName>
    <definedName name="Z_06685B21_AA05_11D2_AA72_00C04FCC440D_.wvu.Rows" localSheetId="1" hidden="1">#REF!</definedName>
    <definedName name="Z_06685B21_AA05_11D2_AA72_00C04FCC440D_.wvu.Rows" localSheetId="0" hidden="1">#REF!</definedName>
    <definedName name="zero">'[39]Cost comparison sheet'!$F$52:$G$62,'[39]Cost comparison sheet'!$F$65:$G$77,'[39]Cost comparison sheet'!$F$79,'[39]Cost comparison sheet'!$G$79,'[39]Cost comparison sheet'!$F$87:$G$87,'[39]Cost comparison sheet'!$I$52:$I$62,'[39]Cost comparison sheet'!$I$65:$I$77</definedName>
    <definedName name="zero2">'[39]Cost comparison sheet'!$F$13:$F$45,'[39]Cost comparison sheet'!$I$13:$I$45</definedName>
    <definedName name="zero4">'[39]Cost comparison sheet'!$D$13:$D$44,'[39]Cost comparison sheet'!$G$13:$G$44,'[39]Cost comparison sheet'!$D$47,'[39]Cost comparison sheet'!$G$47,'[39]Cost comparison sheet'!$F$93,'[39]Cost comparison sheet'!$G$93,'[39]Cost comparison sheet'!$I$93</definedName>
    <definedName name="zero4b">'[39]Unit price breakdown'!$C$8:$D$13,'[39]Unit price breakdown'!$C$15:$D$18,'[39]Unit price breakdown'!$C$20:$D$22,'[39]Unit price breakdown'!$C$24:$D$25,'[39]Unit price breakdown'!$C$27:$E$27</definedName>
    <definedName name="zerobis">'[39]Cost comparison sheet'!$J$45,'[39]Cost comparison sheet'!$J$62,'[39]Cost comparison sheet'!$J$77,'[39]Cost comparison sheet'!$J$83,'[39]Cost comparison sheet'!$J$85,'[39]Cost comparison sheet'!$J$90</definedName>
    <definedName name="不良點">'[40]X-Scale'!$I$1:$AF$1</definedName>
    <definedName name="插件單元工時一覽表" localSheetId="1">#REF!</definedName>
    <definedName name="插件單元工時一覽表" localSheetId="0">#REF!</definedName>
    <definedName name="得" hidden="1">{"'sheet(22) (22)'!$A$64:$K$79"}</definedName>
    <definedName name="的">#REF!</definedName>
    <definedName name="紅膠點膠數量" localSheetId="1">#REF!</definedName>
    <definedName name="紅膠點膠數量" localSheetId="0">#REF!</definedName>
    <definedName name="紅膠點膠數量_1" localSheetId="1">'[43]8866-960001-02'!#REF!</definedName>
    <definedName name="紅膠點膠數量_1" localSheetId="0">'[43]8866-960001-02'!#REF!</definedName>
    <definedName name="金手指沾錫">[41]W44!$A$1:$E$5</definedName>
    <definedName name="裂片數" localSheetId="1">#REF!</definedName>
    <definedName name="裂片數" localSheetId="0">#REF!</definedName>
    <definedName name="每週效率查詢">#REF!</definedName>
    <definedName name="起子頭">#REF!</definedName>
    <definedName name="生技">#REF!</definedName>
    <definedName name="是的">#REF!</definedName>
    <definedName name="正背面點膠點數" localSheetId="1">#REF!</definedName>
    <definedName name="正背面點膠點數" localSheetId="0">#REF!</definedName>
    <definedName name="正背面點膠點數_1" localSheetId="1">'[43]8866-960001-02'!#REF!</definedName>
    <definedName name="正背面點膠點數_1" localSheetId="0">'[43]8866-960001-02'!#REF!</definedName>
    <definedName name="週除外名細">#REF!</definedName>
  </definedNames>
  <calcPr calcId="191029"/>
</workbook>
</file>

<file path=xl/calcChain.xml><?xml version="1.0" encoding="utf-8"?>
<calcChain xmlns="http://schemas.openxmlformats.org/spreadsheetml/2006/main">
  <c r="Z111" i="2" l="1"/>
  <c r="Y111" i="2"/>
  <c r="X111" i="2"/>
  <c r="W111" i="2"/>
  <c r="U111" i="2"/>
  <c r="T111" i="2"/>
  <c r="S111" i="2"/>
  <c r="P111" i="2"/>
  <c r="N111" i="2"/>
  <c r="L111" i="2"/>
  <c r="J111" i="2"/>
  <c r="I111" i="2"/>
  <c r="H111" i="2"/>
  <c r="G111" i="2"/>
  <c r="Z110" i="2"/>
  <c r="Y110" i="2"/>
  <c r="X110" i="2"/>
  <c r="W110" i="2"/>
  <c r="U110" i="2"/>
  <c r="T110" i="2"/>
  <c r="S110" i="2"/>
  <c r="P110" i="2"/>
  <c r="N110" i="2"/>
  <c r="L110" i="2"/>
  <c r="J110" i="2"/>
  <c r="I110" i="2"/>
  <c r="H110" i="2"/>
  <c r="G110" i="2"/>
  <c r="Z109" i="2"/>
  <c r="Y109" i="2"/>
  <c r="X109" i="2"/>
  <c r="W109" i="2"/>
  <c r="U109" i="2"/>
  <c r="T109" i="2"/>
  <c r="S109" i="2"/>
  <c r="P109" i="2"/>
  <c r="N109" i="2"/>
  <c r="L109" i="2"/>
  <c r="J109" i="2"/>
  <c r="I109" i="2"/>
  <c r="H109" i="2"/>
  <c r="G109" i="2"/>
  <c r="Z108" i="2"/>
  <c r="Y108" i="2"/>
  <c r="X108" i="2"/>
  <c r="W108" i="2"/>
  <c r="U108" i="2"/>
  <c r="T108" i="2"/>
  <c r="S108" i="2"/>
  <c r="P108" i="2"/>
  <c r="N108" i="2"/>
  <c r="L108" i="2"/>
  <c r="J108" i="2"/>
  <c r="I108" i="2"/>
  <c r="H108" i="2"/>
  <c r="G108" i="2"/>
  <c r="Z107" i="2"/>
  <c r="Y107" i="2"/>
  <c r="X107" i="2"/>
  <c r="W107" i="2"/>
  <c r="U107" i="2"/>
  <c r="T107" i="2"/>
  <c r="S107" i="2"/>
  <c r="P107" i="2"/>
  <c r="N107" i="2"/>
  <c r="L107" i="2"/>
  <c r="J107" i="2"/>
  <c r="I107" i="2"/>
  <c r="H107" i="2"/>
  <c r="G107" i="2"/>
  <c r="Z106" i="2"/>
  <c r="Y106" i="2"/>
  <c r="X106" i="2"/>
  <c r="W106" i="2"/>
  <c r="V106" i="2"/>
  <c r="U106" i="2"/>
  <c r="T106" i="2"/>
  <c r="S106" i="2"/>
  <c r="P106" i="2"/>
  <c r="N106" i="2"/>
  <c r="L106" i="2"/>
  <c r="J106" i="2"/>
  <c r="I106" i="2"/>
  <c r="H106" i="2"/>
  <c r="G106" i="2"/>
  <c r="Z105" i="2"/>
  <c r="Y105" i="2"/>
  <c r="X105" i="2"/>
  <c r="W105" i="2"/>
  <c r="U105" i="2"/>
  <c r="T105" i="2"/>
  <c r="S105" i="2"/>
  <c r="P105" i="2"/>
  <c r="N105" i="2"/>
  <c r="L105" i="2"/>
  <c r="J105" i="2"/>
  <c r="I105" i="2"/>
  <c r="H105" i="2"/>
  <c r="G105" i="2"/>
  <c r="Z104" i="2"/>
  <c r="Y104" i="2"/>
  <c r="X104" i="2"/>
  <c r="W104" i="2"/>
  <c r="U104" i="2"/>
  <c r="T104" i="2"/>
  <c r="S104" i="2"/>
  <c r="P104" i="2"/>
  <c r="N104" i="2"/>
  <c r="L104" i="2"/>
  <c r="J104" i="2"/>
  <c r="I104" i="2"/>
  <c r="H104" i="2"/>
  <c r="G104" i="2"/>
  <c r="Z103" i="2"/>
  <c r="Y103" i="2"/>
  <c r="X103" i="2"/>
  <c r="W103" i="2"/>
  <c r="U103" i="2"/>
  <c r="T103" i="2"/>
  <c r="S103" i="2"/>
  <c r="P103" i="2"/>
  <c r="N103" i="2"/>
  <c r="L103" i="2"/>
  <c r="J103" i="2"/>
  <c r="I103" i="2"/>
  <c r="H103" i="2"/>
  <c r="G103" i="2"/>
  <c r="Z102" i="2"/>
  <c r="Y102" i="2"/>
  <c r="X102" i="2"/>
  <c r="W102" i="2"/>
  <c r="U102" i="2"/>
  <c r="T102" i="2"/>
  <c r="S102" i="2"/>
  <c r="P102" i="2"/>
  <c r="N102" i="2"/>
  <c r="L102" i="2"/>
  <c r="J102" i="2"/>
  <c r="I102" i="2"/>
  <c r="H102" i="2"/>
  <c r="G102" i="2"/>
  <c r="Z101" i="2"/>
  <c r="Y101" i="2"/>
  <c r="X101" i="2"/>
  <c r="W101" i="2"/>
  <c r="U101" i="2"/>
  <c r="T101" i="2"/>
  <c r="S101" i="2"/>
  <c r="P101" i="2"/>
  <c r="N101" i="2"/>
  <c r="L101" i="2"/>
  <c r="J101" i="2"/>
  <c r="I101" i="2"/>
  <c r="H101" i="2"/>
  <c r="G101" i="2"/>
  <c r="Z100" i="2"/>
  <c r="Y100" i="2"/>
  <c r="X100" i="2"/>
  <c r="W100" i="2"/>
  <c r="U100" i="2"/>
  <c r="T100" i="2"/>
  <c r="S100" i="2"/>
  <c r="P100" i="2"/>
  <c r="N100" i="2"/>
  <c r="L100" i="2"/>
  <c r="J100" i="2"/>
  <c r="I100" i="2"/>
  <c r="H100" i="2"/>
  <c r="G100" i="2"/>
  <c r="Z99" i="2"/>
  <c r="Y99" i="2"/>
  <c r="X99" i="2"/>
  <c r="W99" i="2"/>
  <c r="U99" i="2"/>
  <c r="T99" i="2"/>
  <c r="S99" i="2"/>
  <c r="P99" i="2"/>
  <c r="N99" i="2"/>
  <c r="L99" i="2"/>
  <c r="J99" i="2"/>
  <c r="I99" i="2"/>
  <c r="H99" i="2"/>
  <c r="G99" i="2"/>
  <c r="Z98" i="2"/>
  <c r="Y98" i="2"/>
  <c r="X98" i="2"/>
  <c r="W98" i="2"/>
  <c r="U98" i="2"/>
  <c r="T98" i="2"/>
  <c r="S98" i="2"/>
  <c r="P98" i="2"/>
  <c r="N98" i="2"/>
  <c r="L98" i="2"/>
  <c r="J98" i="2"/>
  <c r="I98" i="2"/>
  <c r="H98" i="2"/>
  <c r="G98" i="2"/>
  <c r="Z97" i="2"/>
  <c r="Y97" i="2"/>
  <c r="X97" i="2"/>
  <c r="W97" i="2"/>
  <c r="U97" i="2"/>
  <c r="T97" i="2"/>
  <c r="S97" i="2"/>
  <c r="P97" i="2"/>
  <c r="N97" i="2"/>
  <c r="L97" i="2"/>
  <c r="J97" i="2"/>
  <c r="I97" i="2"/>
  <c r="H97" i="2"/>
  <c r="G97" i="2"/>
  <c r="Z96" i="2"/>
  <c r="Y96" i="2"/>
  <c r="X96" i="2"/>
  <c r="W96" i="2"/>
  <c r="U96" i="2"/>
  <c r="T96" i="2"/>
  <c r="S96" i="2"/>
  <c r="P96" i="2"/>
  <c r="N96" i="2"/>
  <c r="L96" i="2"/>
  <c r="J96" i="2"/>
  <c r="I96" i="2"/>
  <c r="H96" i="2"/>
  <c r="G96" i="2"/>
  <c r="Z95" i="2"/>
  <c r="Y95" i="2"/>
  <c r="X95" i="2"/>
  <c r="W95" i="2"/>
  <c r="U95" i="2"/>
  <c r="T95" i="2"/>
  <c r="S95" i="2"/>
  <c r="P95" i="2"/>
  <c r="N95" i="2"/>
  <c r="L95" i="2"/>
  <c r="J95" i="2"/>
  <c r="I95" i="2"/>
  <c r="H95" i="2"/>
  <c r="G95" i="2"/>
  <c r="Z94" i="2"/>
  <c r="Y94" i="2"/>
  <c r="X94" i="2"/>
  <c r="W94" i="2"/>
  <c r="U94" i="2"/>
  <c r="T94" i="2"/>
  <c r="S94" i="2"/>
  <c r="P94" i="2"/>
  <c r="N94" i="2"/>
  <c r="L94" i="2"/>
  <c r="J94" i="2"/>
  <c r="I94" i="2"/>
  <c r="H94" i="2"/>
  <c r="G94" i="2"/>
  <c r="Z93" i="2"/>
  <c r="Y93" i="2"/>
  <c r="X93" i="2"/>
  <c r="W93" i="2"/>
  <c r="U93" i="2"/>
  <c r="T93" i="2"/>
  <c r="S93" i="2"/>
  <c r="P93" i="2"/>
  <c r="N93" i="2"/>
  <c r="L93" i="2"/>
  <c r="J93" i="2"/>
  <c r="I93" i="2"/>
  <c r="H93" i="2"/>
  <c r="G93" i="2"/>
  <c r="Z92" i="2"/>
  <c r="Y92" i="2"/>
  <c r="X92" i="2"/>
  <c r="W92" i="2"/>
  <c r="U92" i="2"/>
  <c r="T92" i="2"/>
  <c r="S92" i="2"/>
  <c r="P92" i="2"/>
  <c r="N92" i="2"/>
  <c r="L92" i="2"/>
  <c r="J92" i="2"/>
  <c r="I92" i="2"/>
  <c r="H92" i="2"/>
  <c r="G92" i="2"/>
  <c r="Z91" i="2"/>
  <c r="Y91" i="2"/>
  <c r="X91" i="2"/>
  <c r="W91" i="2"/>
  <c r="U91" i="2"/>
  <c r="T91" i="2"/>
  <c r="S91" i="2"/>
  <c r="P91" i="2"/>
  <c r="N91" i="2"/>
  <c r="L91" i="2"/>
  <c r="J91" i="2"/>
  <c r="I91" i="2"/>
  <c r="H91" i="2"/>
  <c r="G91" i="2"/>
  <c r="Z90" i="2"/>
  <c r="Y90" i="2"/>
  <c r="X90" i="2"/>
  <c r="W90" i="2"/>
  <c r="U90" i="2"/>
  <c r="T90" i="2"/>
  <c r="S90" i="2"/>
  <c r="P90" i="2"/>
  <c r="N90" i="2"/>
  <c r="L90" i="2"/>
  <c r="J90" i="2"/>
  <c r="I90" i="2"/>
  <c r="H90" i="2"/>
  <c r="G90" i="2"/>
  <c r="Z89" i="2"/>
  <c r="Y89" i="2"/>
  <c r="X89" i="2"/>
  <c r="W89" i="2"/>
  <c r="U89" i="2"/>
  <c r="T89" i="2"/>
  <c r="S89" i="2"/>
  <c r="P89" i="2"/>
  <c r="N89" i="2"/>
  <c r="L89" i="2"/>
  <c r="J89" i="2"/>
  <c r="I89" i="2"/>
  <c r="H89" i="2"/>
  <c r="G89" i="2"/>
  <c r="Z88" i="2"/>
  <c r="Y88" i="2"/>
  <c r="X88" i="2"/>
  <c r="W88" i="2"/>
  <c r="U88" i="2"/>
  <c r="T88" i="2"/>
  <c r="S88" i="2"/>
  <c r="P88" i="2"/>
  <c r="N88" i="2"/>
  <c r="L88" i="2"/>
  <c r="J88" i="2"/>
  <c r="I88" i="2"/>
  <c r="H88" i="2"/>
  <c r="G88" i="2"/>
  <c r="Z87" i="2"/>
  <c r="Y87" i="2"/>
  <c r="X87" i="2"/>
  <c r="W87" i="2"/>
  <c r="U87" i="2"/>
  <c r="T87" i="2"/>
  <c r="S87" i="2"/>
  <c r="P87" i="2"/>
  <c r="N87" i="2"/>
  <c r="L87" i="2"/>
  <c r="J87" i="2"/>
  <c r="I87" i="2"/>
  <c r="H87" i="2"/>
  <c r="G87" i="2"/>
  <c r="Z86" i="2"/>
  <c r="Y86" i="2"/>
  <c r="X86" i="2"/>
  <c r="W86" i="2"/>
  <c r="U86" i="2"/>
  <c r="T86" i="2"/>
  <c r="S86" i="2"/>
  <c r="P86" i="2"/>
  <c r="N86" i="2"/>
  <c r="L86" i="2"/>
  <c r="J86" i="2"/>
  <c r="I86" i="2"/>
  <c r="H86" i="2"/>
  <c r="G86" i="2"/>
  <c r="Z85" i="2"/>
  <c r="Y85" i="2"/>
  <c r="X85" i="2"/>
  <c r="W85" i="2"/>
  <c r="U85" i="2"/>
  <c r="T85" i="2"/>
  <c r="S85" i="2"/>
  <c r="P85" i="2"/>
  <c r="N85" i="2"/>
  <c r="L85" i="2"/>
  <c r="J85" i="2"/>
  <c r="I85" i="2"/>
  <c r="H85" i="2"/>
  <c r="G85" i="2"/>
  <c r="Z84" i="2"/>
  <c r="Y84" i="2"/>
  <c r="X84" i="2"/>
  <c r="W84" i="2"/>
  <c r="U84" i="2"/>
  <c r="T84" i="2"/>
  <c r="S84" i="2"/>
  <c r="P84" i="2"/>
  <c r="N84" i="2"/>
  <c r="L84" i="2"/>
  <c r="J84" i="2"/>
  <c r="I84" i="2"/>
  <c r="H84" i="2"/>
  <c r="G84" i="2"/>
  <c r="Z83" i="2"/>
  <c r="Y83" i="2"/>
  <c r="X83" i="2"/>
  <c r="W83" i="2"/>
  <c r="U83" i="2"/>
  <c r="T83" i="2"/>
  <c r="S83" i="2"/>
  <c r="P83" i="2"/>
  <c r="N83" i="2"/>
  <c r="L83" i="2"/>
  <c r="J83" i="2"/>
  <c r="I83" i="2"/>
  <c r="H83" i="2"/>
  <c r="G83" i="2"/>
  <c r="Z82" i="2"/>
  <c r="Y82" i="2"/>
  <c r="X82" i="2"/>
  <c r="W82" i="2"/>
  <c r="U82" i="2"/>
  <c r="T82" i="2"/>
  <c r="S82" i="2"/>
  <c r="P82" i="2"/>
  <c r="N82" i="2"/>
  <c r="L82" i="2"/>
  <c r="J82" i="2"/>
  <c r="I82" i="2"/>
  <c r="H82" i="2"/>
  <c r="G82" i="2"/>
  <c r="Z81" i="2"/>
  <c r="Y81" i="2"/>
  <c r="X81" i="2"/>
  <c r="W81" i="2"/>
  <c r="U81" i="2"/>
  <c r="T81" i="2"/>
  <c r="S81" i="2"/>
  <c r="P81" i="2"/>
  <c r="N81" i="2"/>
  <c r="L81" i="2"/>
  <c r="J81" i="2"/>
  <c r="I81" i="2"/>
  <c r="H81" i="2"/>
  <c r="G81" i="2"/>
  <c r="Z80" i="2"/>
  <c r="Y80" i="2"/>
  <c r="X80" i="2"/>
  <c r="W80" i="2"/>
  <c r="U80" i="2"/>
  <c r="T80" i="2"/>
  <c r="S80" i="2"/>
  <c r="P80" i="2"/>
  <c r="N80" i="2"/>
  <c r="L80" i="2"/>
  <c r="J80" i="2"/>
  <c r="I80" i="2"/>
  <c r="H80" i="2"/>
  <c r="G80" i="2"/>
  <c r="Z79" i="2"/>
  <c r="Y79" i="2"/>
  <c r="X79" i="2"/>
  <c r="W79" i="2"/>
  <c r="U79" i="2"/>
  <c r="T79" i="2"/>
  <c r="S79" i="2"/>
  <c r="P79" i="2"/>
  <c r="N79" i="2"/>
  <c r="L79" i="2"/>
  <c r="J79" i="2"/>
  <c r="I79" i="2"/>
  <c r="H79" i="2"/>
  <c r="G79" i="2"/>
  <c r="Z78" i="2"/>
  <c r="Y78" i="2"/>
  <c r="X78" i="2"/>
  <c r="W78" i="2"/>
  <c r="U78" i="2"/>
  <c r="T78" i="2"/>
  <c r="S78" i="2"/>
  <c r="P78" i="2"/>
  <c r="N78" i="2"/>
  <c r="L78" i="2"/>
  <c r="J78" i="2"/>
  <c r="I78" i="2"/>
  <c r="H78" i="2"/>
  <c r="G78" i="2"/>
  <c r="Z77" i="2"/>
  <c r="Y77" i="2"/>
  <c r="X77" i="2"/>
  <c r="W77" i="2"/>
  <c r="U77" i="2"/>
  <c r="T77" i="2"/>
  <c r="S77" i="2"/>
  <c r="P77" i="2"/>
  <c r="N77" i="2"/>
  <c r="L77" i="2"/>
  <c r="J77" i="2"/>
  <c r="I77" i="2"/>
  <c r="H77" i="2"/>
  <c r="G77" i="2"/>
  <c r="Z76" i="2"/>
  <c r="Y76" i="2"/>
  <c r="X76" i="2"/>
  <c r="W76" i="2"/>
  <c r="U76" i="2"/>
  <c r="T76" i="2"/>
  <c r="S76" i="2"/>
  <c r="P76" i="2"/>
  <c r="N76" i="2"/>
  <c r="L76" i="2"/>
  <c r="J76" i="2"/>
  <c r="I76" i="2"/>
  <c r="H76" i="2"/>
  <c r="G76" i="2"/>
  <c r="Z75" i="2"/>
  <c r="Y75" i="2"/>
  <c r="X75" i="2"/>
  <c r="W75" i="2"/>
  <c r="U75" i="2"/>
  <c r="T75" i="2"/>
  <c r="S75" i="2"/>
  <c r="P75" i="2"/>
  <c r="N75" i="2"/>
  <c r="L75" i="2"/>
  <c r="J75" i="2"/>
  <c r="I75" i="2"/>
  <c r="H75" i="2"/>
  <c r="G75" i="2"/>
  <c r="Z74" i="2"/>
  <c r="Y74" i="2"/>
  <c r="X74" i="2"/>
  <c r="W74" i="2"/>
  <c r="U74" i="2"/>
  <c r="T74" i="2"/>
  <c r="S74" i="2"/>
  <c r="P74" i="2"/>
  <c r="N74" i="2"/>
  <c r="L74" i="2"/>
  <c r="J74" i="2"/>
  <c r="I74" i="2"/>
  <c r="H74" i="2"/>
  <c r="G74" i="2"/>
  <c r="Z73" i="2"/>
  <c r="Y73" i="2"/>
  <c r="X73" i="2"/>
  <c r="W73" i="2"/>
  <c r="U73" i="2"/>
  <c r="T73" i="2"/>
  <c r="S73" i="2"/>
  <c r="P73" i="2"/>
  <c r="N73" i="2"/>
  <c r="L73" i="2"/>
  <c r="J73" i="2"/>
  <c r="I73" i="2"/>
  <c r="H73" i="2"/>
  <c r="G73" i="2"/>
  <c r="Z72" i="2"/>
  <c r="Y72" i="2"/>
  <c r="X72" i="2"/>
  <c r="W72" i="2"/>
  <c r="U72" i="2"/>
  <c r="T72" i="2"/>
  <c r="S72" i="2"/>
  <c r="P72" i="2"/>
  <c r="N72" i="2"/>
  <c r="L72" i="2"/>
  <c r="J72" i="2"/>
  <c r="I72" i="2"/>
  <c r="H72" i="2"/>
  <c r="G72" i="2"/>
  <c r="Z71" i="2"/>
  <c r="Y71" i="2"/>
  <c r="X71" i="2"/>
  <c r="W71" i="2"/>
  <c r="U71" i="2"/>
  <c r="T71" i="2"/>
  <c r="S71" i="2"/>
  <c r="P71" i="2"/>
  <c r="N71" i="2"/>
  <c r="L71" i="2"/>
  <c r="J71" i="2"/>
  <c r="I71" i="2"/>
  <c r="H71" i="2"/>
  <c r="G71" i="2"/>
  <c r="Z70" i="2"/>
  <c r="Y70" i="2"/>
  <c r="X70" i="2"/>
  <c r="W70" i="2"/>
  <c r="U70" i="2"/>
  <c r="T70" i="2"/>
  <c r="S70" i="2"/>
  <c r="P70" i="2"/>
  <c r="N70" i="2"/>
  <c r="L70" i="2"/>
  <c r="J70" i="2"/>
  <c r="I70" i="2"/>
  <c r="H70" i="2"/>
  <c r="G70" i="2"/>
  <c r="Z69" i="2"/>
  <c r="Y69" i="2"/>
  <c r="X69" i="2"/>
  <c r="W69" i="2"/>
  <c r="U69" i="2"/>
  <c r="T69" i="2"/>
  <c r="S69" i="2"/>
  <c r="P69" i="2"/>
  <c r="N69" i="2"/>
  <c r="L69" i="2"/>
  <c r="J69" i="2"/>
  <c r="I69" i="2"/>
  <c r="H69" i="2"/>
  <c r="G69" i="2"/>
  <c r="Z68" i="2"/>
  <c r="Y68" i="2"/>
  <c r="X68" i="2"/>
  <c r="W68" i="2"/>
  <c r="U68" i="2"/>
  <c r="T68" i="2"/>
  <c r="S68" i="2"/>
  <c r="P68" i="2"/>
  <c r="N68" i="2"/>
  <c r="L68" i="2"/>
  <c r="J68" i="2"/>
  <c r="I68" i="2"/>
  <c r="H68" i="2"/>
  <c r="G68" i="2"/>
  <c r="Z67" i="2"/>
  <c r="Y67" i="2"/>
  <c r="X67" i="2"/>
  <c r="W67" i="2"/>
  <c r="U67" i="2"/>
  <c r="T67" i="2"/>
  <c r="S67" i="2"/>
  <c r="P67" i="2"/>
  <c r="N67" i="2"/>
  <c r="L67" i="2"/>
  <c r="J67" i="2"/>
  <c r="I67" i="2"/>
  <c r="H67" i="2"/>
  <c r="G67" i="2"/>
  <c r="Z66" i="2"/>
  <c r="Y66" i="2"/>
  <c r="X66" i="2"/>
  <c r="W66" i="2"/>
  <c r="U66" i="2"/>
  <c r="T66" i="2"/>
  <c r="S66" i="2"/>
  <c r="P66" i="2"/>
  <c r="N66" i="2"/>
  <c r="L66" i="2"/>
  <c r="J66" i="2"/>
  <c r="I66" i="2"/>
  <c r="H66" i="2"/>
  <c r="G66" i="2"/>
  <c r="Z65" i="2"/>
  <c r="Y65" i="2"/>
  <c r="X65" i="2"/>
  <c r="W65" i="2"/>
  <c r="U65" i="2"/>
  <c r="T65" i="2"/>
  <c r="S65" i="2"/>
  <c r="P65" i="2"/>
  <c r="N65" i="2"/>
  <c r="L65" i="2"/>
  <c r="J65" i="2"/>
  <c r="I65" i="2"/>
  <c r="H65" i="2"/>
  <c r="G65" i="2"/>
  <c r="Z64" i="2"/>
  <c r="Y64" i="2"/>
  <c r="X64" i="2"/>
  <c r="W64" i="2"/>
  <c r="U64" i="2"/>
  <c r="T64" i="2"/>
  <c r="S64" i="2"/>
  <c r="P64" i="2"/>
  <c r="N64" i="2"/>
  <c r="L64" i="2"/>
  <c r="J64" i="2"/>
  <c r="I64" i="2"/>
  <c r="H64" i="2"/>
  <c r="G64" i="2"/>
  <c r="Z63" i="2"/>
  <c r="Y63" i="2"/>
  <c r="X63" i="2"/>
  <c r="W63" i="2"/>
  <c r="U63" i="2"/>
  <c r="T63" i="2"/>
  <c r="S63" i="2"/>
  <c r="P63" i="2"/>
  <c r="N63" i="2"/>
  <c r="L63" i="2"/>
  <c r="J63" i="2"/>
  <c r="I63" i="2"/>
  <c r="H63" i="2"/>
  <c r="G63" i="2"/>
  <c r="Z62" i="2"/>
  <c r="Y62" i="2"/>
  <c r="X62" i="2"/>
  <c r="W62" i="2"/>
  <c r="U62" i="2"/>
  <c r="T62" i="2"/>
  <c r="S62" i="2"/>
  <c r="P62" i="2"/>
  <c r="N62" i="2"/>
  <c r="L62" i="2"/>
  <c r="J62" i="2"/>
  <c r="I62" i="2"/>
  <c r="H62" i="2"/>
  <c r="G62" i="2"/>
  <c r="Z61" i="2"/>
  <c r="Y61" i="2"/>
  <c r="X61" i="2"/>
  <c r="W61" i="2"/>
  <c r="U61" i="2"/>
  <c r="T61" i="2"/>
  <c r="S61" i="2"/>
  <c r="P61" i="2"/>
  <c r="N61" i="2"/>
  <c r="L61" i="2"/>
  <c r="J61" i="2"/>
  <c r="I61" i="2"/>
  <c r="H61" i="2"/>
  <c r="G61" i="2"/>
  <c r="Z60" i="2"/>
  <c r="Y60" i="2"/>
  <c r="X60" i="2"/>
  <c r="W60" i="2"/>
  <c r="U60" i="2"/>
  <c r="T60" i="2"/>
  <c r="S60" i="2"/>
  <c r="P60" i="2"/>
  <c r="N60" i="2"/>
  <c r="L60" i="2"/>
  <c r="J60" i="2"/>
  <c r="I60" i="2"/>
  <c r="H60" i="2"/>
  <c r="G60" i="2"/>
  <c r="Z59" i="2"/>
  <c r="Y59" i="2"/>
  <c r="X59" i="2"/>
  <c r="W59" i="2"/>
  <c r="U59" i="2"/>
  <c r="T59" i="2"/>
  <c r="S59" i="2"/>
  <c r="P59" i="2"/>
  <c r="N59" i="2"/>
  <c r="L59" i="2"/>
  <c r="J59" i="2"/>
  <c r="I59" i="2"/>
  <c r="H59" i="2"/>
  <c r="G59" i="2"/>
  <c r="Z58" i="2"/>
  <c r="Y58" i="2"/>
  <c r="X58" i="2"/>
  <c r="W58" i="2"/>
  <c r="U58" i="2"/>
  <c r="T58" i="2"/>
  <c r="S58" i="2"/>
  <c r="P58" i="2"/>
  <c r="N58" i="2"/>
  <c r="L58" i="2"/>
  <c r="J58" i="2"/>
  <c r="I58" i="2"/>
  <c r="H58" i="2"/>
  <c r="G58" i="2"/>
  <c r="Z57" i="2"/>
  <c r="Y57" i="2"/>
  <c r="X57" i="2"/>
  <c r="W57" i="2"/>
  <c r="U57" i="2"/>
  <c r="T57" i="2"/>
  <c r="S57" i="2"/>
  <c r="Q57" i="2"/>
  <c r="P57" i="2"/>
  <c r="N57" i="2"/>
  <c r="L57" i="2"/>
  <c r="J57" i="2"/>
  <c r="I57" i="2"/>
  <c r="H57" i="2"/>
  <c r="G57" i="2"/>
  <c r="Z56" i="2"/>
  <c r="Y56" i="2"/>
  <c r="X56" i="2"/>
  <c r="W56" i="2"/>
  <c r="U56" i="2"/>
  <c r="T56" i="2"/>
  <c r="S56" i="2"/>
  <c r="P56" i="2"/>
  <c r="N56" i="2"/>
  <c r="L56" i="2"/>
  <c r="J56" i="2"/>
  <c r="I56" i="2"/>
  <c r="H56" i="2"/>
  <c r="G56" i="2"/>
  <c r="Z55" i="2"/>
  <c r="Y55" i="2"/>
  <c r="X55" i="2"/>
  <c r="W55" i="2"/>
  <c r="U55" i="2"/>
  <c r="T55" i="2"/>
  <c r="S55" i="2"/>
  <c r="P55" i="2"/>
  <c r="N55" i="2"/>
  <c r="L55" i="2"/>
  <c r="J55" i="2"/>
  <c r="I55" i="2"/>
  <c r="H55" i="2"/>
  <c r="G55" i="2"/>
  <c r="Z54" i="2"/>
  <c r="Y54" i="2"/>
  <c r="X54" i="2"/>
  <c r="W54" i="2"/>
  <c r="V54" i="2"/>
  <c r="U54" i="2"/>
  <c r="T54" i="2"/>
  <c r="S54" i="2"/>
  <c r="P54" i="2"/>
  <c r="N54" i="2"/>
  <c r="L54" i="2"/>
  <c r="J54" i="2"/>
  <c r="I54" i="2"/>
  <c r="H54" i="2"/>
  <c r="G54" i="2"/>
  <c r="F54" i="2"/>
  <c r="Z53" i="2"/>
  <c r="Y53" i="2"/>
  <c r="X53" i="2"/>
  <c r="W53" i="2"/>
  <c r="U53" i="2"/>
  <c r="T53" i="2"/>
  <c r="S53" i="2"/>
  <c r="P53" i="2"/>
  <c r="N53" i="2"/>
  <c r="L53" i="2"/>
  <c r="J53" i="2"/>
  <c r="I53" i="2"/>
  <c r="H53" i="2"/>
  <c r="G53" i="2"/>
  <c r="Z52" i="2"/>
  <c r="Y52" i="2"/>
  <c r="X52" i="2"/>
  <c r="W52" i="2"/>
  <c r="U52" i="2"/>
  <c r="T52" i="2"/>
  <c r="S52" i="2"/>
  <c r="P52" i="2"/>
  <c r="N52" i="2"/>
  <c r="L52" i="2"/>
  <c r="J52" i="2"/>
  <c r="I52" i="2"/>
  <c r="H52" i="2"/>
  <c r="G52" i="2"/>
  <c r="F52" i="2"/>
  <c r="Z51" i="2"/>
  <c r="Y51" i="2"/>
  <c r="X51" i="2"/>
  <c r="W51" i="2"/>
  <c r="U51" i="2"/>
  <c r="T51" i="2"/>
  <c r="S51" i="2"/>
  <c r="P51" i="2"/>
  <c r="N51" i="2"/>
  <c r="L51" i="2"/>
  <c r="J51" i="2"/>
  <c r="I51" i="2"/>
  <c r="H51" i="2"/>
  <c r="G51" i="2"/>
  <c r="Z50" i="2"/>
  <c r="Y50" i="2"/>
  <c r="X50" i="2"/>
  <c r="W50" i="2"/>
  <c r="U50" i="2"/>
  <c r="T50" i="2"/>
  <c r="S50" i="2"/>
  <c r="P50" i="2"/>
  <c r="N50" i="2"/>
  <c r="L50" i="2"/>
  <c r="J50" i="2"/>
  <c r="I50" i="2"/>
  <c r="H50" i="2"/>
  <c r="G50" i="2"/>
  <c r="Z49" i="2"/>
  <c r="Y49" i="2"/>
  <c r="X49" i="2"/>
  <c r="W49" i="2"/>
  <c r="U49" i="2"/>
  <c r="T49" i="2"/>
  <c r="S49" i="2"/>
  <c r="P49" i="2"/>
  <c r="N49" i="2"/>
  <c r="L49" i="2"/>
  <c r="J49" i="2"/>
  <c r="I49" i="2"/>
  <c r="H49" i="2"/>
  <c r="G49" i="2"/>
  <c r="Z48" i="2"/>
  <c r="Y48" i="2"/>
  <c r="X48" i="2"/>
  <c r="W48" i="2"/>
  <c r="U48" i="2"/>
  <c r="T48" i="2"/>
  <c r="S48" i="2"/>
  <c r="P48" i="2"/>
  <c r="N48" i="2"/>
  <c r="L48" i="2"/>
  <c r="J48" i="2"/>
  <c r="I48" i="2"/>
  <c r="H48" i="2"/>
  <c r="G48" i="2"/>
  <c r="F48" i="2"/>
  <c r="Z47" i="2"/>
  <c r="Y47" i="2"/>
  <c r="X47" i="2"/>
  <c r="W47" i="2"/>
  <c r="T47" i="2"/>
  <c r="S47" i="2"/>
  <c r="P47" i="2"/>
  <c r="N47" i="2"/>
  <c r="L47" i="2"/>
  <c r="J47" i="2"/>
  <c r="I47" i="2"/>
  <c r="H47" i="2"/>
  <c r="G47" i="2"/>
  <c r="F47" i="2"/>
  <c r="Z46" i="2"/>
  <c r="Y46" i="2"/>
  <c r="X46" i="2"/>
  <c r="W46" i="2"/>
  <c r="T46" i="2"/>
  <c r="S46" i="2"/>
  <c r="P46" i="2"/>
  <c r="N46" i="2"/>
  <c r="L46" i="2"/>
  <c r="J46" i="2"/>
  <c r="I46" i="2"/>
  <c r="H46" i="2"/>
  <c r="G46" i="2"/>
  <c r="Z45" i="2"/>
  <c r="Y45" i="2"/>
  <c r="X45" i="2"/>
  <c r="W45" i="2"/>
  <c r="T45" i="2"/>
  <c r="S45" i="2"/>
  <c r="P45" i="2"/>
  <c r="N45" i="2"/>
  <c r="L45" i="2"/>
  <c r="J45" i="2"/>
  <c r="I45" i="2"/>
  <c r="H45" i="2"/>
  <c r="G45" i="2"/>
  <c r="F45" i="2"/>
  <c r="Z44" i="2"/>
  <c r="Y44" i="2"/>
  <c r="X44" i="2"/>
  <c r="W44" i="2"/>
  <c r="T44" i="2"/>
  <c r="S44" i="2"/>
  <c r="P44" i="2"/>
  <c r="N44" i="2"/>
  <c r="L44" i="2"/>
  <c r="J44" i="2"/>
  <c r="I44" i="2"/>
  <c r="H44" i="2"/>
  <c r="G44" i="2"/>
  <c r="Z43" i="2"/>
  <c r="Y43" i="2"/>
  <c r="X43" i="2"/>
  <c r="W43" i="2"/>
  <c r="T43" i="2"/>
  <c r="S43" i="2"/>
  <c r="P43" i="2"/>
  <c r="N43" i="2"/>
  <c r="L43" i="2"/>
  <c r="J43" i="2"/>
  <c r="I43" i="2"/>
  <c r="H43" i="2"/>
  <c r="G43" i="2"/>
  <c r="Z42" i="2"/>
  <c r="Y42" i="2"/>
  <c r="X42" i="2"/>
  <c r="W42" i="2"/>
  <c r="T42" i="2"/>
  <c r="S42" i="2"/>
  <c r="P42" i="2"/>
  <c r="N42" i="2"/>
  <c r="L42" i="2"/>
  <c r="J42" i="2"/>
  <c r="I42" i="2"/>
  <c r="H42" i="2"/>
  <c r="G42" i="2"/>
  <c r="F42" i="2"/>
  <c r="Z41" i="2"/>
  <c r="Y41" i="2"/>
  <c r="X41" i="2"/>
  <c r="W41" i="2"/>
  <c r="T41" i="2"/>
  <c r="S41" i="2"/>
  <c r="P41" i="2"/>
  <c r="N41" i="2"/>
  <c r="J41" i="2"/>
  <c r="I41" i="2"/>
  <c r="G41" i="2"/>
  <c r="F41" i="2"/>
  <c r="Z40" i="2"/>
  <c r="Y40" i="2"/>
  <c r="X40" i="2"/>
  <c r="W40" i="2"/>
  <c r="T40" i="2"/>
  <c r="S40" i="2"/>
  <c r="P40" i="2"/>
  <c r="N40" i="2"/>
  <c r="L40" i="2"/>
  <c r="J40" i="2"/>
  <c r="I40" i="2"/>
  <c r="H40" i="2"/>
  <c r="G40" i="2"/>
  <c r="F40" i="2"/>
  <c r="Z39" i="2"/>
  <c r="Y39" i="2"/>
  <c r="X39" i="2"/>
  <c r="W39" i="2"/>
  <c r="T39" i="2"/>
  <c r="S39" i="2"/>
  <c r="P39" i="2"/>
  <c r="N39" i="2"/>
  <c r="J39" i="2"/>
  <c r="I39" i="2"/>
  <c r="H39" i="2"/>
  <c r="G39" i="2"/>
  <c r="F39" i="2"/>
  <c r="Z38" i="2"/>
  <c r="Y38" i="2"/>
  <c r="X38" i="2"/>
  <c r="W38" i="2"/>
  <c r="T38" i="2"/>
  <c r="S38" i="2"/>
  <c r="P38" i="2"/>
  <c r="N38" i="2"/>
  <c r="J38" i="2"/>
  <c r="I38" i="2"/>
  <c r="H38" i="2"/>
  <c r="G38" i="2"/>
  <c r="F38" i="2"/>
  <c r="Z37" i="2"/>
  <c r="Y37" i="2"/>
  <c r="X37" i="2"/>
  <c r="W37" i="2"/>
  <c r="T37" i="2"/>
  <c r="S37" i="2"/>
  <c r="P37" i="2"/>
  <c r="N37" i="2"/>
  <c r="L37" i="2"/>
  <c r="J37" i="2"/>
  <c r="I37" i="2"/>
  <c r="H37" i="2"/>
  <c r="G37" i="2"/>
  <c r="Z36" i="2"/>
  <c r="Y36" i="2"/>
  <c r="X36" i="2"/>
  <c r="W36" i="2"/>
  <c r="T36" i="2"/>
  <c r="S36" i="2"/>
  <c r="P36" i="2"/>
  <c r="N36" i="2"/>
  <c r="J36" i="2"/>
  <c r="I36" i="2"/>
  <c r="H36" i="2"/>
  <c r="G36" i="2"/>
  <c r="Z35" i="2"/>
  <c r="Y35" i="2"/>
  <c r="X35" i="2"/>
  <c r="W35" i="2"/>
  <c r="T35" i="2"/>
  <c r="S35" i="2"/>
  <c r="P35" i="2"/>
  <c r="N35" i="2"/>
  <c r="J35" i="2"/>
  <c r="I35" i="2"/>
  <c r="H35" i="2"/>
  <c r="G35" i="2"/>
  <c r="Z34" i="2"/>
  <c r="Y34" i="2"/>
  <c r="X34" i="2"/>
  <c r="W34" i="2"/>
  <c r="T34" i="2"/>
  <c r="S34" i="2"/>
  <c r="P34" i="2"/>
  <c r="N34" i="2"/>
  <c r="J34" i="2"/>
  <c r="I34" i="2"/>
  <c r="H34" i="2"/>
  <c r="G34" i="2"/>
  <c r="Z33" i="2"/>
  <c r="Y33" i="2"/>
  <c r="X33" i="2"/>
  <c r="W33" i="2"/>
  <c r="T33" i="2"/>
  <c r="S33" i="2"/>
  <c r="P33" i="2"/>
  <c r="N33" i="2"/>
  <c r="J33" i="2"/>
  <c r="I33" i="2"/>
  <c r="G33" i="2"/>
  <c r="Z32" i="2"/>
  <c r="Y32" i="2"/>
  <c r="X32" i="2"/>
  <c r="W32" i="2"/>
  <c r="T32" i="2"/>
  <c r="S32" i="2"/>
  <c r="P32" i="2"/>
  <c r="N32" i="2"/>
  <c r="J32" i="2"/>
  <c r="I32" i="2"/>
  <c r="H32" i="2"/>
  <c r="G32" i="2"/>
  <c r="F32" i="2"/>
  <c r="Z31" i="2"/>
  <c r="Y31" i="2"/>
  <c r="X31" i="2"/>
  <c r="W31" i="2"/>
  <c r="T31" i="2"/>
  <c r="S31" i="2"/>
  <c r="P31" i="2"/>
  <c r="N31" i="2"/>
  <c r="J31" i="2"/>
  <c r="I31" i="2"/>
  <c r="H31" i="2"/>
  <c r="G31" i="2"/>
  <c r="Z30" i="2"/>
  <c r="Y30" i="2"/>
  <c r="X30" i="2"/>
  <c r="W30" i="2"/>
  <c r="T30" i="2"/>
  <c r="S30" i="2"/>
  <c r="P30" i="2"/>
  <c r="N30" i="2"/>
  <c r="L30" i="2"/>
  <c r="J30" i="2"/>
  <c r="I30" i="2"/>
  <c r="G30" i="2"/>
  <c r="Z29" i="2"/>
  <c r="Y29" i="2"/>
  <c r="X29" i="2"/>
  <c r="W29" i="2"/>
  <c r="T29" i="2"/>
  <c r="S29" i="2"/>
  <c r="P29" i="2"/>
  <c r="N29" i="2"/>
  <c r="J29" i="2"/>
  <c r="I29" i="2"/>
  <c r="H29" i="2"/>
  <c r="G29" i="2"/>
  <c r="Z28" i="2"/>
  <c r="Y28" i="2"/>
  <c r="X28" i="2"/>
  <c r="W28" i="2"/>
  <c r="T28" i="2"/>
  <c r="S28" i="2"/>
  <c r="P28" i="2"/>
  <c r="N28" i="2"/>
  <c r="L28" i="2"/>
  <c r="J28" i="2"/>
  <c r="I28" i="2"/>
  <c r="H28" i="2"/>
  <c r="G28" i="2"/>
  <c r="Z27" i="2"/>
  <c r="Y27" i="2"/>
  <c r="X27" i="2"/>
  <c r="W27" i="2"/>
  <c r="T27" i="2"/>
  <c r="S27" i="2"/>
  <c r="P27" i="2"/>
  <c r="N27" i="2"/>
  <c r="L27" i="2"/>
  <c r="J27" i="2"/>
  <c r="I27" i="2"/>
  <c r="H27" i="2"/>
  <c r="G27" i="2"/>
  <c r="Z26" i="2"/>
  <c r="Y26" i="2"/>
  <c r="X26" i="2"/>
  <c r="W26" i="2"/>
  <c r="T26" i="2"/>
  <c r="S26" i="2"/>
  <c r="P26" i="2"/>
  <c r="N26" i="2"/>
  <c r="L26" i="2"/>
  <c r="J26" i="2"/>
  <c r="I26" i="2"/>
  <c r="H26" i="2"/>
  <c r="G26" i="2"/>
  <c r="Z25" i="2"/>
  <c r="Y25" i="2"/>
  <c r="X25" i="2"/>
  <c r="W25" i="2"/>
  <c r="T25" i="2"/>
  <c r="S25" i="2"/>
  <c r="P25" i="2"/>
  <c r="N25" i="2"/>
  <c r="L25" i="2"/>
  <c r="J25" i="2"/>
  <c r="I25" i="2"/>
  <c r="H25" i="2"/>
  <c r="G25" i="2"/>
  <c r="Z24" i="2"/>
  <c r="Y24" i="2"/>
  <c r="X24" i="2"/>
  <c r="W24" i="2"/>
  <c r="T24" i="2"/>
  <c r="S24" i="2"/>
  <c r="P24" i="2"/>
  <c r="N24" i="2"/>
  <c r="L24" i="2"/>
  <c r="J24" i="2"/>
  <c r="I24" i="2"/>
  <c r="H24" i="2"/>
  <c r="G24" i="2"/>
  <c r="F24" i="2"/>
  <c r="Z23" i="2"/>
  <c r="Y23" i="2"/>
  <c r="X23" i="2"/>
  <c r="W23" i="2"/>
  <c r="T23" i="2"/>
  <c r="S23" i="2"/>
  <c r="P23" i="2"/>
  <c r="N23" i="2"/>
  <c r="L23" i="2"/>
  <c r="J23" i="2"/>
  <c r="I23" i="2"/>
  <c r="G23" i="2"/>
  <c r="F23" i="2"/>
  <c r="Z22" i="2"/>
  <c r="Y22" i="2"/>
  <c r="X22" i="2"/>
  <c r="W22" i="2"/>
  <c r="T22" i="2"/>
  <c r="S22" i="2"/>
  <c r="P22" i="2"/>
  <c r="N22" i="2"/>
  <c r="L22" i="2"/>
  <c r="J22" i="2"/>
  <c r="I22" i="2"/>
  <c r="H22" i="2"/>
  <c r="G22" i="2"/>
  <c r="F22" i="2"/>
  <c r="Z21" i="2"/>
  <c r="Y21" i="2"/>
  <c r="X21" i="2"/>
  <c r="W21" i="2"/>
  <c r="T21" i="2"/>
  <c r="S21" i="2"/>
  <c r="P21" i="2"/>
  <c r="N21" i="2"/>
  <c r="L21" i="2"/>
  <c r="J21" i="2"/>
  <c r="I21" i="2"/>
  <c r="H21" i="2"/>
  <c r="G21" i="2"/>
  <c r="Z20" i="2"/>
  <c r="Y20" i="2"/>
  <c r="X20" i="2"/>
  <c r="W20" i="2"/>
  <c r="T20" i="2"/>
  <c r="S20" i="2"/>
  <c r="P20" i="2"/>
  <c r="N20" i="2"/>
  <c r="L20" i="2"/>
  <c r="J20" i="2"/>
  <c r="I20" i="2"/>
  <c r="H20" i="2"/>
  <c r="G20" i="2"/>
  <c r="Z19" i="2"/>
  <c r="Y19" i="2"/>
  <c r="X19" i="2"/>
  <c r="W19" i="2"/>
  <c r="T19" i="2"/>
  <c r="S19" i="2"/>
  <c r="P19" i="2"/>
  <c r="N19" i="2"/>
  <c r="L19" i="2"/>
  <c r="J19" i="2"/>
  <c r="I19" i="2"/>
  <c r="H19" i="2"/>
  <c r="G19" i="2"/>
  <c r="Z18" i="2"/>
  <c r="Y18" i="2"/>
  <c r="X18" i="2"/>
  <c r="W18" i="2"/>
  <c r="T18" i="2"/>
  <c r="S18" i="2"/>
  <c r="P18" i="2"/>
  <c r="N18" i="2"/>
  <c r="L18" i="2"/>
  <c r="J18" i="2"/>
  <c r="I18" i="2"/>
  <c r="H18" i="2"/>
  <c r="G18" i="2"/>
  <c r="F18" i="2"/>
  <c r="Z17" i="2"/>
  <c r="Y17" i="2"/>
  <c r="X17" i="2"/>
  <c r="W17" i="2"/>
  <c r="T17" i="2"/>
  <c r="S17" i="2"/>
  <c r="P17" i="2"/>
  <c r="N17" i="2"/>
  <c r="L17" i="2"/>
  <c r="J17" i="2"/>
  <c r="I17" i="2"/>
  <c r="G17" i="2"/>
  <c r="Z16" i="2"/>
  <c r="Y16" i="2"/>
  <c r="X16" i="2"/>
  <c r="W16" i="2"/>
  <c r="T16" i="2"/>
  <c r="S16" i="2"/>
  <c r="P16" i="2"/>
  <c r="N16" i="2"/>
  <c r="L16" i="2"/>
  <c r="J16" i="2"/>
  <c r="I16" i="2"/>
  <c r="H16" i="2"/>
  <c r="G16" i="2"/>
  <c r="Z15" i="2"/>
  <c r="Y15" i="2"/>
  <c r="X15" i="2"/>
  <c r="W15" i="2"/>
  <c r="T15" i="2"/>
  <c r="S15" i="2"/>
  <c r="P15" i="2"/>
  <c r="N15" i="2"/>
  <c r="L15" i="2"/>
  <c r="J15" i="2"/>
  <c r="I15" i="2"/>
  <c r="H15" i="2"/>
  <c r="G15" i="2"/>
  <c r="Z14" i="2"/>
  <c r="Y14" i="2"/>
  <c r="X14" i="2"/>
  <c r="W14" i="2"/>
  <c r="T14" i="2"/>
  <c r="S14" i="2"/>
  <c r="P14" i="2"/>
  <c r="N14" i="2"/>
  <c r="L14" i="2"/>
  <c r="J14" i="2"/>
  <c r="I14" i="2"/>
  <c r="H14" i="2"/>
  <c r="G14" i="2"/>
  <c r="Z13" i="2"/>
  <c r="Y13" i="2"/>
  <c r="X13" i="2"/>
  <c r="W13" i="2"/>
  <c r="T13" i="2"/>
  <c r="S13" i="2"/>
  <c r="P13" i="2"/>
  <c r="N13" i="2"/>
  <c r="L13" i="2"/>
  <c r="J13" i="2"/>
  <c r="I13" i="2"/>
  <c r="H13" i="2"/>
  <c r="G13" i="2"/>
  <c r="Z12" i="2"/>
  <c r="Y12" i="2"/>
  <c r="X12" i="2"/>
  <c r="W12" i="2"/>
  <c r="T12" i="2"/>
  <c r="S12" i="2"/>
  <c r="P12" i="2"/>
  <c r="N12" i="2"/>
  <c r="J12" i="2"/>
  <c r="I12" i="2"/>
  <c r="G12" i="2"/>
  <c r="F12" i="2"/>
  <c r="Z11" i="2"/>
  <c r="Y11" i="2"/>
  <c r="X11" i="2"/>
  <c r="W11" i="2"/>
  <c r="T11" i="2"/>
  <c r="S11" i="2"/>
  <c r="P11" i="2"/>
  <c r="N11" i="2"/>
  <c r="J11" i="2"/>
  <c r="I11" i="2"/>
  <c r="H11" i="2"/>
  <c r="G11" i="2"/>
  <c r="F11" i="2"/>
  <c r="Z10" i="2"/>
  <c r="Y10" i="2"/>
  <c r="X10" i="2"/>
  <c r="W10" i="2"/>
  <c r="T10" i="2"/>
  <c r="S10" i="2"/>
  <c r="P10" i="2"/>
  <c r="N10" i="2"/>
  <c r="J10" i="2"/>
  <c r="I10" i="2"/>
  <c r="H10" i="2"/>
  <c r="G10" i="2"/>
  <c r="F10" i="2"/>
  <c r="Z9" i="2"/>
  <c r="Y9" i="2"/>
  <c r="X9" i="2"/>
  <c r="W9" i="2"/>
  <c r="T9" i="2"/>
  <c r="S9" i="2"/>
  <c r="P9" i="2"/>
  <c r="N9" i="2"/>
  <c r="L9" i="2"/>
  <c r="J9" i="2"/>
  <c r="I9" i="2"/>
  <c r="G9" i="2"/>
  <c r="Z8" i="2"/>
  <c r="Y8" i="2"/>
  <c r="X8" i="2"/>
  <c r="W8" i="2"/>
  <c r="T8" i="2"/>
  <c r="S8" i="2"/>
  <c r="P8" i="2"/>
  <c r="N8" i="2"/>
  <c r="J8" i="2"/>
  <c r="I8" i="2"/>
  <c r="H8" i="2"/>
  <c r="G8" i="2"/>
  <c r="F8" i="2"/>
  <c r="Z7" i="2"/>
  <c r="Y7" i="2"/>
  <c r="X7" i="2"/>
  <c r="W7" i="2"/>
  <c r="T7" i="2"/>
  <c r="S7" i="2"/>
  <c r="P7" i="2"/>
  <c r="N7" i="2"/>
  <c r="J7" i="2"/>
  <c r="I7" i="2"/>
  <c r="G7" i="2"/>
  <c r="F7" i="2"/>
  <c r="Z6" i="2"/>
  <c r="Y6" i="2"/>
  <c r="X6" i="2"/>
  <c r="W6" i="2"/>
  <c r="T6" i="2"/>
  <c r="S6" i="2"/>
  <c r="P6" i="2"/>
  <c r="N6" i="2"/>
  <c r="J6" i="2"/>
  <c r="I6" i="2"/>
  <c r="G6" i="2"/>
  <c r="F6" i="2"/>
  <c r="Z5" i="2"/>
  <c r="Y5" i="2"/>
  <c r="X5" i="2"/>
  <c r="W5" i="2"/>
  <c r="V5" i="2"/>
  <c r="T5" i="2"/>
  <c r="S5" i="2"/>
  <c r="P5" i="2"/>
  <c r="N5" i="2"/>
  <c r="L5" i="2"/>
  <c r="J5" i="2"/>
  <c r="I5" i="2"/>
  <c r="H5" i="2"/>
  <c r="G5" i="2"/>
  <c r="Z4" i="2"/>
  <c r="Y4" i="2"/>
  <c r="X4" i="2"/>
  <c r="W4" i="2"/>
  <c r="T4" i="2"/>
  <c r="S4" i="2"/>
  <c r="P4" i="2"/>
  <c r="N4" i="2"/>
  <c r="L4" i="2"/>
  <c r="J4" i="2"/>
  <c r="I4" i="2"/>
  <c r="H4" i="2"/>
  <c r="G4" i="2"/>
  <c r="Z3" i="2"/>
  <c r="Y3" i="2"/>
  <c r="X3" i="2"/>
  <c r="W3" i="2"/>
  <c r="V3" i="2"/>
  <c r="T3" i="2"/>
  <c r="S3" i="2"/>
  <c r="P3" i="2"/>
  <c r="N3" i="2"/>
  <c r="L3" i="2"/>
  <c r="J3" i="2"/>
  <c r="I3" i="2"/>
  <c r="H3" i="2"/>
  <c r="G3" i="2"/>
  <c r="Z41" i="1"/>
  <c r="Y41" i="1"/>
  <c r="X41" i="1"/>
  <c r="W41" i="1"/>
  <c r="U41" i="1"/>
  <c r="T41" i="1"/>
  <c r="S41" i="1"/>
  <c r="P41" i="1"/>
  <c r="N41" i="1"/>
  <c r="L41" i="1"/>
  <c r="J41" i="1"/>
  <c r="I41" i="1"/>
  <c r="G41" i="1"/>
  <c r="Z40" i="1"/>
  <c r="Y40" i="1"/>
  <c r="X40" i="1"/>
  <c r="W40" i="1"/>
  <c r="U40" i="1"/>
  <c r="T40" i="1"/>
  <c r="S40" i="1"/>
  <c r="P40" i="1"/>
  <c r="N40" i="1"/>
  <c r="L40" i="1"/>
  <c r="J40" i="1"/>
  <c r="I40" i="1"/>
  <c r="H40" i="1"/>
  <c r="G40" i="1"/>
  <c r="Z39" i="1"/>
  <c r="Y39" i="1"/>
  <c r="X39" i="1"/>
  <c r="W39" i="1"/>
  <c r="U39" i="1"/>
  <c r="T39" i="1"/>
  <c r="S39" i="1"/>
  <c r="P39" i="1"/>
  <c r="N39" i="1"/>
  <c r="L39" i="1"/>
  <c r="J39" i="1"/>
  <c r="I39" i="1"/>
  <c r="H39" i="1"/>
  <c r="G39" i="1"/>
  <c r="Z38" i="1"/>
  <c r="Y38" i="1"/>
  <c r="X38" i="1"/>
  <c r="W38" i="1"/>
  <c r="U38" i="1"/>
  <c r="T38" i="1"/>
  <c r="S38" i="1"/>
  <c r="P38" i="1"/>
  <c r="N38" i="1"/>
  <c r="L38" i="1"/>
  <c r="J38" i="1"/>
  <c r="I38" i="1"/>
  <c r="H38" i="1"/>
  <c r="G38" i="1"/>
  <c r="Z37" i="1"/>
  <c r="Y37" i="1"/>
  <c r="X37" i="1"/>
  <c r="W37" i="1"/>
  <c r="U37" i="1"/>
  <c r="T37" i="1"/>
  <c r="S37" i="1"/>
  <c r="P37" i="1"/>
  <c r="N37" i="1"/>
  <c r="L37" i="1"/>
  <c r="J37" i="1"/>
  <c r="I37" i="1"/>
  <c r="H37" i="1"/>
  <c r="G37" i="1"/>
  <c r="Z36" i="1"/>
  <c r="Y36" i="1"/>
  <c r="X36" i="1"/>
  <c r="W36" i="1"/>
  <c r="U36" i="1"/>
  <c r="T36" i="1"/>
  <c r="S36" i="1"/>
  <c r="P36" i="1"/>
  <c r="N36" i="1"/>
  <c r="L36" i="1"/>
  <c r="J36" i="1"/>
  <c r="I36" i="1"/>
  <c r="H36" i="1"/>
  <c r="G36" i="1"/>
  <c r="Z35" i="1"/>
  <c r="Y35" i="1"/>
  <c r="X35" i="1"/>
  <c r="W35" i="1"/>
  <c r="U35" i="1"/>
  <c r="T35" i="1"/>
  <c r="S35" i="1"/>
  <c r="P35" i="1"/>
  <c r="N35" i="1"/>
  <c r="L35" i="1"/>
  <c r="J35" i="1"/>
  <c r="I35" i="1"/>
  <c r="H35" i="1"/>
  <c r="G35" i="1"/>
  <c r="Z34" i="1"/>
  <c r="Y34" i="1"/>
  <c r="X34" i="1"/>
  <c r="W34" i="1"/>
  <c r="U34" i="1"/>
  <c r="T34" i="1"/>
  <c r="S34" i="1"/>
  <c r="P34" i="1"/>
  <c r="N34" i="1"/>
  <c r="L34" i="1"/>
  <c r="J34" i="1"/>
  <c r="I34" i="1"/>
  <c r="H34" i="1"/>
  <c r="G34" i="1"/>
  <c r="Z33" i="1"/>
  <c r="Y33" i="1"/>
  <c r="X33" i="1"/>
  <c r="W33" i="1"/>
  <c r="U33" i="1"/>
  <c r="T33" i="1"/>
  <c r="S33" i="1"/>
  <c r="P33" i="1"/>
  <c r="N33" i="1"/>
  <c r="L33" i="1"/>
  <c r="J33" i="1"/>
  <c r="I33" i="1"/>
  <c r="H33" i="1"/>
  <c r="G33" i="1"/>
  <c r="Z32" i="1"/>
  <c r="Y32" i="1"/>
  <c r="X32" i="1"/>
  <c r="W32" i="1"/>
  <c r="U32" i="1"/>
  <c r="T32" i="1"/>
  <c r="S32" i="1"/>
  <c r="P32" i="1"/>
  <c r="N32" i="1"/>
  <c r="L32" i="1"/>
  <c r="J32" i="1"/>
  <c r="I32" i="1"/>
  <c r="H32" i="1"/>
  <c r="G32" i="1"/>
  <c r="Z31" i="1"/>
  <c r="Y31" i="1"/>
  <c r="X31" i="1"/>
  <c r="W31" i="1"/>
  <c r="U31" i="1"/>
  <c r="T31" i="1"/>
  <c r="S31" i="1"/>
  <c r="P31" i="1"/>
  <c r="N31" i="1"/>
  <c r="L31" i="1"/>
  <c r="J31" i="1"/>
  <c r="I31" i="1"/>
  <c r="H31" i="1"/>
  <c r="G31" i="1"/>
  <c r="Z30" i="1"/>
  <c r="Y30" i="1"/>
  <c r="X30" i="1"/>
  <c r="W30" i="1"/>
  <c r="U30" i="1"/>
  <c r="T30" i="1"/>
  <c r="S30" i="1"/>
  <c r="P30" i="1"/>
  <c r="N30" i="1"/>
  <c r="L30" i="1"/>
  <c r="J30" i="1"/>
  <c r="I30" i="1"/>
  <c r="H30" i="1"/>
  <c r="G30" i="1"/>
  <c r="Z29" i="1"/>
  <c r="Y29" i="1"/>
  <c r="X29" i="1"/>
  <c r="W29" i="1"/>
  <c r="U29" i="1"/>
  <c r="T29" i="1"/>
  <c r="S29" i="1"/>
  <c r="P29" i="1"/>
  <c r="N29" i="1"/>
  <c r="L29" i="1"/>
  <c r="J29" i="1"/>
  <c r="I29" i="1"/>
  <c r="H29" i="1"/>
  <c r="G29" i="1"/>
  <c r="Z28" i="1"/>
  <c r="Y28" i="1"/>
  <c r="X28" i="1"/>
  <c r="W28" i="1"/>
  <c r="U28" i="1"/>
  <c r="T28" i="1"/>
  <c r="S28" i="1"/>
  <c r="P28" i="1"/>
  <c r="N28" i="1"/>
  <c r="L28" i="1"/>
  <c r="J28" i="1"/>
  <c r="I28" i="1"/>
  <c r="H28" i="1"/>
  <c r="G28" i="1"/>
  <c r="Z27" i="1"/>
  <c r="Y27" i="1"/>
  <c r="X27" i="1"/>
  <c r="W27" i="1"/>
  <c r="U27" i="1"/>
  <c r="T27" i="1"/>
  <c r="S27" i="1"/>
  <c r="P27" i="1"/>
  <c r="N27" i="1"/>
  <c r="L27" i="1"/>
  <c r="J27" i="1"/>
  <c r="I27" i="1"/>
  <c r="H27" i="1"/>
  <c r="G27" i="1"/>
  <c r="Z26" i="1"/>
  <c r="Y26" i="1"/>
  <c r="X26" i="1"/>
  <c r="W26" i="1"/>
  <c r="V26" i="1"/>
  <c r="T26" i="1"/>
  <c r="S26" i="1"/>
  <c r="P26" i="1"/>
  <c r="N26" i="1"/>
  <c r="L26" i="1"/>
  <c r="J26" i="1"/>
  <c r="I26" i="1"/>
  <c r="H26" i="1"/>
  <c r="G26" i="1"/>
  <c r="Z25" i="1"/>
  <c r="Y25" i="1"/>
  <c r="X25" i="1"/>
  <c r="W25" i="1"/>
  <c r="V25" i="1"/>
  <c r="T25" i="1"/>
  <c r="S25" i="1"/>
  <c r="P25" i="1"/>
  <c r="N25" i="1"/>
  <c r="L25" i="1"/>
  <c r="J25" i="1"/>
  <c r="I25" i="1"/>
  <c r="H25" i="1"/>
  <c r="G25" i="1"/>
  <c r="Z24" i="1"/>
  <c r="Y24" i="1"/>
  <c r="X24" i="1"/>
  <c r="W24" i="1"/>
  <c r="V24" i="1"/>
  <c r="T24" i="1"/>
  <c r="S24" i="1"/>
  <c r="P24" i="1"/>
  <c r="N24" i="1"/>
  <c r="L24" i="1"/>
  <c r="J24" i="1"/>
  <c r="I24" i="1"/>
  <c r="H24" i="1"/>
  <c r="G24" i="1"/>
  <c r="AD23" i="1"/>
  <c r="Z23" i="1"/>
  <c r="Y23" i="1"/>
  <c r="X23" i="1"/>
  <c r="W23" i="1"/>
  <c r="V23" i="1"/>
  <c r="T23" i="1"/>
  <c r="S23" i="1"/>
  <c r="P23" i="1"/>
  <c r="N23" i="1"/>
  <c r="L23" i="1"/>
  <c r="J23" i="1"/>
  <c r="I23" i="1"/>
  <c r="H23" i="1"/>
  <c r="G23" i="1"/>
  <c r="Z22" i="1"/>
  <c r="Y22" i="1"/>
  <c r="X22" i="1"/>
  <c r="W22" i="1"/>
  <c r="V22" i="1"/>
  <c r="T22" i="1"/>
  <c r="S22" i="1"/>
  <c r="P22" i="1"/>
  <c r="N22" i="1"/>
  <c r="J22" i="1"/>
  <c r="I22" i="1"/>
  <c r="H22" i="1"/>
  <c r="G22" i="1"/>
  <c r="Z21" i="1"/>
  <c r="Y21" i="1"/>
  <c r="X21" i="1"/>
  <c r="W21" i="1"/>
  <c r="V21" i="1"/>
  <c r="T21" i="1"/>
  <c r="S21" i="1"/>
  <c r="P21" i="1"/>
  <c r="N21" i="1"/>
  <c r="J21" i="1"/>
  <c r="I21" i="1"/>
  <c r="H21" i="1"/>
  <c r="G21" i="1"/>
  <c r="Z20" i="1"/>
  <c r="Y20" i="1"/>
  <c r="X20" i="1"/>
  <c r="W20" i="1"/>
  <c r="V20" i="1"/>
  <c r="T20" i="1"/>
  <c r="S20" i="1"/>
  <c r="P20" i="1"/>
  <c r="N20" i="1"/>
  <c r="L20" i="1"/>
  <c r="J20" i="1"/>
  <c r="I20" i="1"/>
  <c r="H20" i="1"/>
  <c r="G20" i="1"/>
  <c r="Z19" i="1"/>
  <c r="Y19" i="1"/>
  <c r="X19" i="1"/>
  <c r="W19" i="1"/>
  <c r="V19" i="1"/>
  <c r="T19" i="1"/>
  <c r="S19" i="1"/>
  <c r="P19" i="1"/>
  <c r="N19" i="1"/>
  <c r="J19" i="1"/>
  <c r="I19" i="1"/>
  <c r="H19" i="1"/>
  <c r="G19" i="1"/>
  <c r="Z18" i="1"/>
  <c r="Y18" i="1"/>
  <c r="X18" i="1"/>
  <c r="W18" i="1"/>
  <c r="V18" i="1"/>
  <c r="T18" i="1"/>
  <c r="S18" i="1"/>
  <c r="P18" i="1"/>
  <c r="N18" i="1"/>
  <c r="J18" i="1"/>
  <c r="I18" i="1"/>
  <c r="H18" i="1"/>
  <c r="G18" i="1"/>
  <c r="Z17" i="1"/>
  <c r="Y17" i="1"/>
  <c r="X17" i="1"/>
  <c r="W17" i="1"/>
  <c r="V17" i="1"/>
  <c r="T17" i="1"/>
  <c r="S17" i="1"/>
  <c r="P17" i="1"/>
  <c r="N17" i="1"/>
  <c r="J17" i="1"/>
  <c r="I17" i="1"/>
  <c r="H17" i="1"/>
  <c r="G17" i="1"/>
  <c r="Z16" i="1"/>
  <c r="Y16" i="1"/>
  <c r="X16" i="1"/>
  <c r="W16" i="1"/>
  <c r="V16" i="1"/>
  <c r="T16" i="1"/>
  <c r="S16" i="1"/>
  <c r="P16" i="1"/>
  <c r="N16" i="1"/>
  <c r="J16" i="1"/>
  <c r="I16" i="1"/>
  <c r="H16" i="1"/>
  <c r="G16" i="1"/>
  <c r="Z15" i="1"/>
  <c r="Y15" i="1"/>
  <c r="X15" i="1"/>
  <c r="W15" i="1"/>
  <c r="V15" i="1"/>
  <c r="T15" i="1"/>
  <c r="S15" i="1"/>
  <c r="P15" i="1"/>
  <c r="N15" i="1"/>
  <c r="L15" i="1"/>
  <c r="J15" i="1"/>
  <c r="I15" i="1"/>
  <c r="H15" i="1"/>
  <c r="G15" i="1"/>
  <c r="Z14" i="1"/>
  <c r="Y14" i="1"/>
  <c r="X14" i="1"/>
  <c r="W14" i="1"/>
  <c r="V14" i="1"/>
  <c r="T14" i="1"/>
  <c r="S14" i="1"/>
  <c r="P14" i="1"/>
  <c r="N14" i="1"/>
  <c r="J14" i="1"/>
  <c r="I14" i="1"/>
  <c r="H14" i="1"/>
  <c r="G14" i="1"/>
  <c r="Z13" i="1"/>
  <c r="Y13" i="1"/>
  <c r="X13" i="1"/>
  <c r="W13" i="1"/>
  <c r="V13" i="1"/>
  <c r="T13" i="1"/>
  <c r="S13" i="1"/>
  <c r="P13" i="1"/>
  <c r="N13" i="1"/>
  <c r="J13" i="1"/>
  <c r="I13" i="1"/>
  <c r="H13" i="1"/>
  <c r="G13" i="1"/>
  <c r="Z12" i="1"/>
  <c r="Y12" i="1"/>
  <c r="X12" i="1"/>
  <c r="W12" i="1"/>
  <c r="T12" i="1"/>
  <c r="S12" i="1"/>
  <c r="P12" i="1"/>
  <c r="N12" i="1"/>
  <c r="J12" i="1"/>
  <c r="I12" i="1"/>
  <c r="H12" i="1"/>
  <c r="G12" i="1"/>
  <c r="Z11" i="1"/>
  <c r="Y11" i="1"/>
  <c r="X11" i="1"/>
  <c r="W11" i="1"/>
  <c r="V11" i="1"/>
  <c r="T11" i="1"/>
  <c r="S11" i="1"/>
  <c r="P11" i="1"/>
  <c r="N11" i="1"/>
  <c r="J11" i="1"/>
  <c r="I11" i="1"/>
  <c r="H11" i="1"/>
  <c r="G11" i="1"/>
  <c r="Z10" i="1"/>
  <c r="Y10" i="1"/>
  <c r="X10" i="1"/>
  <c r="W10" i="1"/>
  <c r="U10" i="1"/>
  <c r="T10" i="1"/>
  <c r="S10" i="1"/>
  <c r="P10" i="1"/>
  <c r="N10" i="1"/>
  <c r="J10" i="1"/>
  <c r="I10" i="1"/>
  <c r="H10" i="1"/>
  <c r="G10" i="1"/>
  <c r="Z9" i="1"/>
  <c r="Y9" i="1"/>
  <c r="X9" i="1"/>
  <c r="W9" i="1"/>
  <c r="U9" i="1"/>
  <c r="T9" i="1"/>
  <c r="S9" i="1"/>
  <c r="P9" i="1"/>
  <c r="N9" i="1"/>
  <c r="L9" i="1"/>
  <c r="J9" i="1"/>
  <c r="I9" i="1"/>
  <c r="H9" i="1"/>
  <c r="G9" i="1"/>
  <c r="Z8" i="1"/>
  <c r="Y8" i="1"/>
  <c r="X8" i="1"/>
  <c r="W8" i="1"/>
  <c r="U8" i="1"/>
  <c r="T8" i="1"/>
  <c r="S8" i="1"/>
  <c r="P8" i="1"/>
  <c r="N8" i="1"/>
  <c r="L8" i="1"/>
  <c r="J8" i="1"/>
  <c r="I8" i="1"/>
  <c r="H8" i="1"/>
  <c r="G8" i="1"/>
  <c r="Z7" i="1"/>
  <c r="Y7" i="1"/>
  <c r="X7" i="1"/>
  <c r="W7" i="1"/>
  <c r="U7" i="1"/>
  <c r="T7" i="1"/>
  <c r="S7" i="1"/>
  <c r="P7" i="1"/>
  <c r="N7" i="1"/>
  <c r="L7" i="1"/>
  <c r="J7" i="1"/>
  <c r="I7" i="1"/>
  <c r="H7" i="1"/>
  <c r="G7" i="1"/>
  <c r="Z6" i="1"/>
  <c r="Y6" i="1"/>
  <c r="X6" i="1"/>
  <c r="W6" i="1"/>
  <c r="V6" i="1"/>
  <c r="U6" i="1"/>
  <c r="T6" i="1"/>
  <c r="S6" i="1"/>
  <c r="P6" i="1"/>
  <c r="N6" i="1"/>
  <c r="L6" i="1"/>
  <c r="J6" i="1"/>
  <c r="I6" i="1"/>
  <c r="H6" i="1"/>
  <c r="G6" i="1"/>
  <c r="Z5" i="1"/>
  <c r="Y5" i="1"/>
  <c r="X5" i="1"/>
  <c r="W5" i="1"/>
  <c r="V5" i="1"/>
  <c r="U5" i="1"/>
  <c r="T5" i="1"/>
  <c r="S5" i="1"/>
  <c r="P5" i="1"/>
  <c r="N5" i="1"/>
  <c r="L5" i="1"/>
  <c r="J5" i="1"/>
  <c r="I5" i="1"/>
  <c r="H5" i="1"/>
  <c r="G5" i="1"/>
  <c r="Z4" i="1"/>
  <c r="Y4" i="1"/>
  <c r="X4" i="1"/>
  <c r="W4" i="1"/>
  <c r="U4" i="1"/>
  <c r="T4" i="1"/>
  <c r="S4" i="1"/>
  <c r="P4" i="1"/>
  <c r="N4" i="1"/>
  <c r="L4" i="1"/>
  <c r="J4" i="1"/>
  <c r="I4" i="1"/>
  <c r="H4" i="1"/>
  <c r="G4" i="1"/>
  <c r="Z3" i="1"/>
  <c r="Y3" i="1"/>
  <c r="X3" i="1"/>
  <c r="W3" i="1"/>
  <c r="U3" i="1"/>
  <c r="T3" i="1"/>
  <c r="S3" i="1"/>
  <c r="P3" i="1"/>
  <c r="N3" i="1"/>
  <c r="L3" i="1"/>
  <c r="J3" i="1"/>
  <c r="I3" i="1"/>
  <c r="H3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000019</author>
  </authors>
  <commentList>
    <comment ref="L1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1人三机
</t>
        </r>
      </text>
    </comment>
    <comment ref="L18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1人3机</t>
        </r>
      </text>
    </comment>
    <comment ref="L19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1人3机</t>
        </r>
      </text>
    </comment>
    <comment ref="L2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1人三机</t>
        </r>
      </text>
    </comment>
    <comment ref="Q27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增加2分钟</t>
        </r>
      </text>
    </comment>
    <comment ref="G28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B/T 同时打件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000019</author>
  </authors>
  <commentList>
    <comment ref="L5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工时1870 无loss，单片时间</t>
        </r>
      </text>
    </comment>
    <comment ref="B13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B+T</t>
        </r>
      </text>
    </comment>
    <comment ref="J26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双面压合</t>
        </r>
      </text>
    </comment>
    <comment ref="I30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37颗压合料</t>
        </r>
      </text>
    </comment>
    <comment ref="I33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压合3</t>
        </r>
      </text>
    </comment>
    <comment ref="H38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IE评估拼版有误</t>
        </r>
      </text>
    </comment>
    <comment ref="K38" authorId="0" shapeId="0" xr:uid="{00000000-0006-0000-0100-000007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增加ICT</t>
        </r>
      </text>
    </comment>
    <comment ref="L62" authorId="0" shapeId="0" xr:uid="{00000000-0006-0000-0100-000008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原14分钟
</t>
        </r>
      </text>
    </comment>
    <comment ref="L64" authorId="0" shapeId="0" xr:uid="{00000000-0006-0000-0100-000009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原15分钟</t>
        </r>
      </text>
    </comment>
    <comment ref="L65" authorId="0" shapeId="0" xr:uid="{00000000-0006-0000-0100-00000A000000}">
      <text>
        <r>
          <rPr>
            <b/>
            <sz val="9"/>
            <rFont val="宋体"/>
            <family val="3"/>
            <charset val="134"/>
          </rPr>
          <t xml:space="preserve">000019:
</t>
        </r>
        <r>
          <rPr>
            <sz val="9"/>
            <rFont val="宋体"/>
            <family val="3"/>
            <charset val="134"/>
          </rPr>
          <t>原7分钟</t>
        </r>
      </text>
    </comment>
    <comment ref="L66" authorId="0" shapeId="0" xr:uid="{00000000-0006-0000-0100-00000B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原10分钟</t>
        </r>
      </text>
    </comment>
    <comment ref="G111" authorId="0" shapeId="0" xr:uid="{00000000-0006-0000-0100-00000C000000}">
      <text>
        <r>
          <rPr>
            <b/>
            <sz val="9"/>
            <rFont val="宋体"/>
            <family val="3"/>
            <charset val="134"/>
          </rPr>
          <t>000019:</t>
        </r>
        <r>
          <rPr>
            <sz val="9"/>
            <rFont val="宋体"/>
            <family val="3"/>
            <charset val="134"/>
          </rPr>
          <t xml:space="preserve">
B/T 同时打件</t>
        </r>
      </text>
    </comment>
  </commentList>
</comments>
</file>

<file path=xl/sharedStrings.xml><?xml version="1.0" encoding="utf-8"?>
<sst xmlns="http://schemas.openxmlformats.org/spreadsheetml/2006/main" count="503" uniqueCount="413">
  <si>
    <t>Testing</t>
  </si>
  <si>
    <r>
      <rPr>
        <sz val="10"/>
        <color theme="1"/>
        <rFont val="等线"/>
        <family val="3"/>
        <charset val="134"/>
      </rPr>
      <t>日期</t>
    </r>
  </si>
  <si>
    <t>FG#</t>
  </si>
  <si>
    <t>Program Name</t>
  </si>
  <si>
    <t>Size (mm) Single</t>
  </si>
  <si>
    <t>Pcs/Panel</t>
  </si>
  <si>
    <t>Monthly FCST</t>
  </si>
  <si>
    <t>SMT Working Time (s)</t>
  </si>
  <si>
    <t>ASM Working Time (s)</t>
  </si>
  <si>
    <t>Routing/Pressfit Working Time (s)</t>
  </si>
  <si>
    <t>Packing Working Time (s)</t>
  </si>
  <si>
    <t>ICT Testing Time (s)</t>
  </si>
  <si>
    <t>FCT Testing Time (s)</t>
  </si>
  <si>
    <t>Handling</t>
  </si>
  <si>
    <t>Total Time (s) -DL</t>
  </si>
  <si>
    <t>U/P (RMB) -DL (hr)</t>
  </si>
  <si>
    <t>Total DL Cost (RMB)</t>
  </si>
  <si>
    <t>Total Time (s) -OH</t>
  </si>
  <si>
    <t>U/P (RMB) -OH (hr)</t>
  </si>
  <si>
    <t>Total OH Cost (RMB)</t>
  </si>
  <si>
    <t>DL &amp; OH (RMB)</t>
  </si>
  <si>
    <t>BOM</t>
  </si>
  <si>
    <r>
      <rPr>
        <b/>
        <sz val="11"/>
        <rFont val="Calibri"/>
        <family val="2"/>
      </rPr>
      <t xml:space="preserve">Loss
</t>
    </r>
    <r>
      <rPr>
        <sz val="11"/>
        <rFont val="Calibri"/>
        <family val="2"/>
      </rPr>
      <t>Duty/Manufacture</t>
    </r>
  </si>
  <si>
    <t>OHLH</t>
  </si>
  <si>
    <t>SG&amp;A</t>
  </si>
  <si>
    <t>MVA</t>
  </si>
  <si>
    <t>零件数</t>
  </si>
  <si>
    <t>6708-001550</t>
  </si>
  <si>
    <t>BW1000_UBB-8-Montage_REVA01</t>
  </si>
  <si>
    <t>416*553* 3.1</t>
  </si>
  <si>
    <t>6708-000780</t>
  </si>
  <si>
    <t>52DC16</t>
  </si>
  <si>
    <t>369.6*337*2.36</t>
  </si>
  <si>
    <t>6708-001330-20/23</t>
  </si>
  <si>
    <t>35TA12 MB_B01_MPS(Lotes,Fit) SKU1</t>
  </si>
  <si>
    <t>289*208*2.36</t>
  </si>
  <si>
    <t>6708-001640-10</t>
  </si>
  <si>
    <t>HUAIHE 62DC24-C_B01_MPS(SKU1)_FIT</t>
  </si>
  <si>
    <t>379.26* 426*2.36</t>
  </si>
  <si>
    <t>6708-001820-00</t>
  </si>
  <si>
    <t>XW2.0-MB-10</t>
  </si>
  <si>
    <t>441.8*355*2.36</t>
  </si>
  <si>
    <t>6708-001821-02</t>
  </si>
  <si>
    <t>XW2.0-MB-0201</t>
  </si>
  <si>
    <t>359*212*2.36</t>
  </si>
  <si>
    <t>6708-001072</t>
  </si>
  <si>
    <t>62DC24_C02</t>
  </si>
  <si>
    <t>374.6*426*2.36</t>
  </si>
  <si>
    <t>&lt;500</t>
  </si>
  <si>
    <t>6708-000903-30</t>
  </si>
  <si>
    <t>22D4</t>
  </si>
  <si>
    <t>243.84x243.84x1.6</t>
  </si>
  <si>
    <t>6708-001110-12</t>
  </si>
  <si>
    <t>42DA8</t>
  </si>
  <si>
    <t>305*245*1.6</t>
  </si>
  <si>
    <t>6708-000385-01</t>
  </si>
  <si>
    <t>52DB16_costdown(FIT) RevB01</t>
  </si>
  <si>
    <t>370.2x340x1.65</t>
  </si>
  <si>
    <t>6708-000405-67</t>
  </si>
  <si>
    <t>62DB32</t>
  </si>
  <si>
    <t>458*419.5*2</t>
  </si>
  <si>
    <t>6708-000832-00</t>
  </si>
  <si>
    <t>32DB16_REVB01_SKU2</t>
  </si>
  <si>
    <t>304.8*330.2*2.1</t>
  </si>
  <si>
    <t>6708-000644-35</t>
  </si>
  <si>
    <t>Fuzhou</t>
  </si>
  <si>
    <t>423.2*375.5*1.93</t>
  </si>
  <si>
    <t>6708-000702-51</t>
  </si>
  <si>
    <t>Nanping MB</t>
  </si>
  <si>
    <t>423.2*375.8*1.93</t>
  </si>
  <si>
    <t>6708-000720-75</t>
  </si>
  <si>
    <t>Yichun MB PFR</t>
  </si>
  <si>
    <t>375.8*437.4*2.4</t>
  </si>
  <si>
    <t>6708-000720-74</t>
  </si>
  <si>
    <t>Yichun MB NON PFE</t>
  </si>
  <si>
    <t>6708-000920-24</t>
  </si>
  <si>
    <r>
      <rPr>
        <sz val="10"/>
        <color theme="1"/>
        <rFont val="宋体"/>
        <family val="3"/>
        <charset val="134"/>
      </rPr>
      <t>东海主板</t>
    </r>
    <r>
      <rPr>
        <sz val="10"/>
        <color theme="1"/>
        <rFont val="Calibri"/>
        <family val="2"/>
      </rPr>
      <t xml:space="preserve"> 65GA24</t>
    </r>
  </si>
  <si>
    <t>470*290*2.36</t>
  </si>
  <si>
    <t>6708-001180-21</t>
  </si>
  <si>
    <t>423*431.65*2.36</t>
  </si>
  <si>
    <t>6708-001128-28</t>
  </si>
  <si>
    <t>6708-001128</t>
  </si>
  <si>
    <t>425*480*2.9</t>
  </si>
  <si>
    <t>6708-001101-30</t>
  </si>
  <si>
    <t>22DB2</t>
  </si>
  <si>
    <t>178.9*170*1.6</t>
  </si>
  <si>
    <t>6708-001250-10</t>
  </si>
  <si>
    <r>
      <rPr>
        <sz val="10"/>
        <color rgb="FF000000"/>
        <rFont val="宋体"/>
        <family val="3"/>
        <charset val="134"/>
      </rPr>
      <t>后海</t>
    </r>
    <r>
      <rPr>
        <sz val="10"/>
        <color rgb="FF000000"/>
        <rFont val="Calibri"/>
        <family val="2"/>
      </rPr>
      <t>MB 62DC24X</t>
    </r>
  </si>
  <si>
    <t>431.65*463*2.36</t>
  </si>
  <si>
    <t>6708-001270-10</t>
  </si>
  <si>
    <t>62DC24X_U8 MB B01 SKU1 MPS</t>
  </si>
  <si>
    <t>6708-001520/24-10/00</t>
  </si>
  <si>
    <r>
      <rPr>
        <sz val="10"/>
        <color theme="1"/>
        <rFont val="宋体"/>
        <family val="3"/>
        <charset val="134"/>
      </rPr>
      <t>星海</t>
    </r>
    <r>
      <rPr>
        <sz val="10"/>
        <color theme="1"/>
        <rFont val="Calibri"/>
        <family val="2"/>
      </rPr>
      <t xml:space="preserve"> 22DD4</t>
    </r>
  </si>
  <si>
    <t>306*187.2*2.36</t>
  </si>
  <si>
    <t>6708-001720-11</t>
  </si>
  <si>
    <t>52DA8_REVA01_FIT</t>
  </si>
  <si>
    <t>304.8*340.2*2</t>
  </si>
  <si>
    <t>6708-001021-21</t>
  </si>
  <si>
    <t>Qiandaohu_22DC4_3350_REV.B01 New wafer</t>
  </si>
  <si>
    <t>243.84*304.8*1.6</t>
  </si>
  <si>
    <t>6708-001800-10/11</t>
  </si>
  <si>
    <t>LIAOHE_52DC16-2_RevB01_IFX SKU_FIT</t>
  </si>
  <si>
    <t>425*249.5* 2.36</t>
  </si>
  <si>
    <t>6708-001360-20</t>
  </si>
  <si>
    <t>60BA24T C01 IFX</t>
  </si>
  <si>
    <t>629.92*200.64*2.36</t>
  </si>
  <si>
    <t>6708-001870-12</t>
  </si>
  <si>
    <t>65TA24X A02 MPS 4U</t>
  </si>
  <si>
    <t>423*431.65* 2.36</t>
  </si>
  <si>
    <t>6708-002110-00</t>
  </si>
  <si>
    <t>XW3.0-MB-01</t>
  </si>
  <si>
    <t>320*270*2.6</t>
  </si>
  <si>
    <t>6708-002100-00</t>
  </si>
  <si>
    <t>XW3.0-MB-10</t>
  </si>
  <si>
    <t>6708-002106-01</t>
  </si>
  <si>
    <t>XW3.0-MB-0101-2UM</t>
  </si>
  <si>
    <t>435*355*2</t>
  </si>
  <si>
    <t>6708-001130-42</t>
  </si>
  <si>
    <t>HG-4 82DA48_REV3.0_Costdown BPS</t>
  </si>
  <si>
    <t>424*604.39*2.36</t>
  </si>
  <si>
    <t>3000-000010-02</t>
  </si>
  <si>
    <t>LC HG4 YUDI GZMB-04379-105</t>
  </si>
  <si>
    <t>439.13*402.17*2.36</t>
  </si>
  <si>
    <t>6708-001800-13</t>
  </si>
  <si>
    <t>6708-001962-00</t>
  </si>
  <si>
    <t>62DC24-C R2.0 MPS LongTray</t>
  </si>
  <si>
    <t>379.26*426*2.36</t>
  </si>
  <si>
    <t>U/P (US$) -DL (hr)</t>
  </si>
  <si>
    <t>Total DL Cost (US$)</t>
  </si>
  <si>
    <t>U/P (US$) -OH (hr)</t>
  </si>
  <si>
    <t>Total OH Cost (US$)</t>
  </si>
  <si>
    <t>DL &amp; OH (US$)</t>
  </si>
  <si>
    <t>6708-001050-50</t>
  </si>
  <si>
    <t>6708-001050-30</t>
  </si>
  <si>
    <t>420.4*249.5*2.3</t>
  </si>
  <si>
    <t>6708-001262-11</t>
  </si>
  <si>
    <t>HH R12E6-6MC8-3DAC-H-U4 B01 MPS_63104</t>
  </si>
  <si>
    <t>6708-001410-12</t>
  </si>
  <si>
    <t>R0E6-20MC8-H-U8-B MPS B01</t>
  </si>
  <si>
    <t>420*204*2.9</t>
  </si>
  <si>
    <t>6708-000650-00</t>
  </si>
  <si>
    <t>Whitely Fuzhou Front 4NVMe BP</t>
  </si>
  <si>
    <t>75.47*64.4*2.7</t>
  </si>
  <si>
    <t>6708-000657-83</t>
  </si>
  <si>
    <t>Fuzhou OCP Riser 1.1 Low</t>
  </si>
  <si>
    <t>148*92.45*1.57</t>
  </si>
  <si>
    <t>6708-000711-91/92</t>
  </si>
  <si>
    <t>Nanping 4 SAS/SATA BP(SKU A)</t>
  </si>
  <si>
    <t>29.13*421.15*2.3</t>
  </si>
  <si>
    <t>6708-000713-91</t>
  </si>
  <si>
    <r>
      <rPr>
        <sz val="10"/>
        <color theme="1"/>
        <rFont val="Calibri"/>
        <family val="2"/>
      </rPr>
      <t xml:space="preserve">Whitley Nanping </t>
    </r>
    <r>
      <rPr>
        <sz val="10"/>
        <color theme="1"/>
        <rFont val="微软雅黑"/>
        <family val="2"/>
        <charset val="134"/>
      </rPr>
      <t>后置</t>
    </r>
    <r>
      <rPr>
        <sz val="10"/>
        <color theme="1"/>
        <rFont val="Calibri"/>
        <family val="2"/>
      </rPr>
      <t>2X16 Riser</t>
    </r>
  </si>
  <si>
    <t>161*40.52*1.57</t>
  </si>
  <si>
    <t>--</t>
  </si>
  <si>
    <t>6708-000710-91</t>
  </si>
  <si>
    <t>Nanping Light BP SKUA</t>
  </si>
  <si>
    <t>115*25*1.6</t>
  </si>
  <si>
    <t>6708-000714-91</t>
  </si>
  <si>
    <t>Nanping FAN Board(SKU A)</t>
  </si>
  <si>
    <t>295*35*2.0</t>
  </si>
  <si>
    <t>6708-000730-30</t>
  </si>
  <si>
    <t>Yichun 4NVMe BP BD32G04_8639_U2 C01</t>
  </si>
  <si>
    <t>77.2*67.25*2.7</t>
  </si>
  <si>
    <t>6708-000736-20/21</t>
  </si>
  <si>
    <r>
      <rPr>
        <sz val="10"/>
        <rFont val="Calibri"/>
        <family val="2"/>
      </rPr>
      <t>Yichun-Jiujiang M.2 Riser</t>
    </r>
    <r>
      <rPr>
        <sz val="10"/>
        <rFont val="宋体"/>
        <family val="3"/>
        <charset val="134"/>
      </rPr>
      <t>板</t>
    </r>
  </si>
  <si>
    <t>80*125*1.6</t>
  </si>
  <si>
    <t>6708-000742-20/21</t>
  </si>
  <si>
    <r>
      <rPr>
        <sz val="10"/>
        <color theme="1"/>
        <rFont val="Calibri"/>
        <family val="2"/>
      </rPr>
      <t>3U</t>
    </r>
    <r>
      <rPr>
        <sz val="10"/>
        <rFont val="宋体"/>
        <family val="3"/>
        <charset val="134"/>
      </rPr>
      <t>后置</t>
    </r>
    <r>
      <rPr>
        <sz val="10"/>
        <rFont val="Calibri"/>
        <family val="2"/>
      </rPr>
      <t>HBA Riser</t>
    </r>
    <r>
      <rPr>
        <sz val="10"/>
        <rFont val="宋体"/>
        <family val="3"/>
        <charset val="134"/>
      </rPr>
      <t>卡</t>
    </r>
  </si>
  <si>
    <t>152*24.5*1.57</t>
  </si>
  <si>
    <t>6708-000743-30</t>
  </si>
  <si>
    <t>Jiujiang BF05-U3 FAN Board C01</t>
  </si>
  <si>
    <t>421.79*44.9*2</t>
  </si>
  <si>
    <t>6708-000744-30</t>
  </si>
  <si>
    <t>Jiujiang 3U_PDB C01</t>
  </si>
  <si>
    <t>379.12*67*2</t>
  </si>
  <si>
    <t>6708-000745-31</t>
  </si>
  <si>
    <t>Jiujiang BD32G02_8639_U3 2NVME C01</t>
  </si>
  <si>
    <t>76.2*36.5*2.7</t>
  </si>
  <si>
    <t>6708-000868</t>
  </si>
  <si>
    <r>
      <rPr>
        <sz val="10"/>
        <rFont val="宋体"/>
        <family val="3"/>
        <charset val="134"/>
      </rPr>
      <t>【焊线】</t>
    </r>
    <r>
      <rPr>
        <sz val="10"/>
        <rFont val="Tahoma"/>
        <family val="2"/>
      </rPr>
      <t>868-81</t>
    </r>
  </si>
  <si>
    <t>246*53*1.6</t>
  </si>
  <si>
    <t>6708-000770-03</t>
  </si>
  <si>
    <t>326.41*271.32*1.57</t>
  </si>
  <si>
    <t>6708-000771-03</t>
  </si>
  <si>
    <t>412.61*77.24*2.4</t>
  </si>
  <si>
    <t>6708-000772-03</t>
  </si>
  <si>
    <t>423.1*81.1*2.4</t>
  </si>
  <si>
    <t>6708-000982-10</t>
  </si>
  <si>
    <t>982-10</t>
  </si>
  <si>
    <t>185.07*176.4*1.6</t>
  </si>
  <si>
    <t>6708-000983-80</t>
  </si>
  <si>
    <t>983-80</t>
  </si>
  <si>
    <t>207.22*74.12*1.6</t>
  </si>
  <si>
    <t>6708-000984-10</t>
  </si>
  <si>
    <t>984-10</t>
  </si>
  <si>
    <t>86.25*426*1.6</t>
  </si>
  <si>
    <t>6708-000987-71</t>
  </si>
  <si>
    <r>
      <rPr>
        <sz val="10"/>
        <rFont val="宋体"/>
        <family val="3"/>
        <charset val="134"/>
      </rPr>
      <t>东海焊线</t>
    </r>
    <r>
      <rPr>
        <sz val="10"/>
        <rFont val="Calibri"/>
        <family val="2"/>
      </rPr>
      <t>card</t>
    </r>
  </si>
  <si>
    <t>207.22*74.20*1.57</t>
  </si>
  <si>
    <t>6708-001006-30</t>
  </si>
  <si>
    <t>40EA16_BPC2000_2_U2_SKU1 REVB01</t>
  </si>
  <si>
    <t>258.16*169.16*2.3</t>
  </si>
  <si>
    <t>6708-001007-30</t>
  </si>
  <si>
    <t>40EA16_BPO2000_2_U2_SKU1 REVA01</t>
  </si>
  <si>
    <t>80*69.5*1.57</t>
  </si>
  <si>
    <t>6708-001051-30</t>
  </si>
  <si>
    <t>420.4*183*2.3</t>
  </si>
  <si>
    <t>6708-001041-30</t>
  </si>
  <si>
    <t>103*153.7*1.57</t>
  </si>
  <si>
    <t>6708-001043-10</t>
  </si>
  <si>
    <t>420*278*3.6</t>
  </si>
  <si>
    <t>6708-001044-10</t>
  </si>
  <si>
    <t>138.4*442.2*1.6</t>
  </si>
  <si>
    <t>6708-001045-20</t>
  </si>
  <si>
    <t>R2E6-H-U8 IOE riser C01 SKU1</t>
  </si>
  <si>
    <t>185*77.7*2.9</t>
  </si>
  <si>
    <t>6708-001046-20</t>
  </si>
  <si>
    <t>126.8*185.41*2.9</t>
  </si>
  <si>
    <t>6708-001047-20</t>
  </si>
  <si>
    <t>136.9*47*2.7</t>
  </si>
  <si>
    <t>6708-001048-20</t>
  </si>
  <si>
    <t>161.1*428*2.3</t>
  </si>
  <si>
    <t>6708-001049-20</t>
  </si>
  <si>
    <t>103*55*1.6</t>
  </si>
  <si>
    <t>6708-001122-90</t>
  </si>
  <si>
    <t>419.86*73*2.2</t>
  </si>
  <si>
    <t>6708-001129-12/13</t>
  </si>
  <si>
    <r>
      <rPr>
        <sz val="10"/>
        <rFont val="Calibri"/>
        <family val="2"/>
      </rPr>
      <t>BF06-U4-B RevC01_GF(</t>
    </r>
    <r>
      <rPr>
        <sz val="10"/>
        <rFont val="宋体"/>
        <family val="3"/>
        <charset val="134"/>
      </rPr>
      <t>镀金</t>
    </r>
    <r>
      <rPr>
        <sz val="10"/>
        <rFont val="Calibri"/>
        <family val="2"/>
      </rPr>
      <t>)</t>
    </r>
  </si>
  <si>
    <t>123.16*410*2</t>
  </si>
  <si>
    <t>6708-001125-00</t>
  </si>
  <si>
    <t>ZiJie_Qiandaohu_FP-D1B2U1-U4 RevA01 SKU1</t>
  </si>
  <si>
    <t>61.2*87*1.6</t>
  </si>
  <si>
    <t>6708-001126-90</t>
  </si>
  <si>
    <t>155*51.28*1.57</t>
  </si>
  <si>
    <t>6708-001127-20</t>
  </si>
  <si>
    <t>ZiJie_QDH_BM32R01-U4 RevC01 SKU1</t>
  </si>
  <si>
    <t>200*76.5*2.7</t>
  </si>
  <si>
    <t>6708-001131-10</t>
  </si>
  <si>
    <t>Jinghai R2E6-2E8-6MC-L-U4</t>
  </si>
  <si>
    <t>153.14*113.82*1.57</t>
  </si>
  <si>
    <t>6708-000782-00</t>
  </si>
  <si>
    <t>BPC2000-2-U2-B RevA01</t>
  </si>
  <si>
    <t>80*76.5*2.3</t>
  </si>
  <si>
    <t>6708-000783-02</t>
  </si>
  <si>
    <t>BD32G02-8639</t>
  </si>
  <si>
    <t>74.71*35.0*2.4</t>
  </si>
  <si>
    <t>6708-001610-20</t>
  </si>
  <si>
    <t>HUAIHE R3E6-DAC-L-U2_REVB01(SKU1)</t>
  </si>
  <si>
    <t>426*52*1.6</t>
  </si>
  <si>
    <t>6708-001624/23-20</t>
  </si>
  <si>
    <t>R2E6-DAC-R-U2 Rev B01 SKU1</t>
  </si>
  <si>
    <t>186.4*170.6*1.6</t>
  </si>
  <si>
    <t>6708-001627</t>
  </si>
  <si>
    <t>HUAIHE R3E6-DAC-L-U2_REVB01(SKU2)</t>
  </si>
  <si>
    <t>199.09*74.48*1.57</t>
  </si>
  <si>
    <t>6708-001342</t>
  </si>
  <si>
    <t>R2E6-1E6_8-DAC-L-U2 A01</t>
  </si>
  <si>
    <t>185.1*73.5*1.57</t>
  </si>
  <si>
    <t>6708-000773-02</t>
  </si>
  <si>
    <t>4U24</t>
  </si>
  <si>
    <t>422.3*182.8*2.4</t>
  </si>
  <si>
    <t>6708-001552</t>
  </si>
  <si>
    <t>DMC UBB-AST2600_Rev A02</t>
  </si>
  <si>
    <t>70.48*47*1.57</t>
  </si>
  <si>
    <t>6708-001553</t>
  </si>
  <si>
    <t>BW200_OAM_5-1_REVA02</t>
  </si>
  <si>
    <t>165*102*3.2</t>
  </si>
  <si>
    <r>
      <rPr>
        <sz val="10"/>
        <rFont val="Calibri"/>
        <family val="2"/>
      </rPr>
      <t>BW200 + DMC+BW1000</t>
    </r>
    <r>
      <rPr>
        <sz val="10"/>
        <rFont val="宋体"/>
        <family val="3"/>
        <charset val="134"/>
      </rPr>
      <t>组装</t>
    </r>
  </si>
  <si>
    <t>6708-001342-50</t>
  </si>
  <si>
    <t>6708-001625-50</t>
  </si>
  <si>
    <t>LYH Riser C01 Cable with 818053037 ECT</t>
  </si>
  <si>
    <t>185.1*73.5*1.6</t>
  </si>
  <si>
    <t>6708-001214-70</t>
  </si>
  <si>
    <t>FP-D5B2U2V1-U2_SKU1 REV.B01</t>
  </si>
  <si>
    <t>56.3*22.38*1.6</t>
  </si>
  <si>
    <t>6708-001216-60</t>
  </si>
  <si>
    <t>CS GPU RISER1_L9ZPE012-SD-R LUXSHARE-T</t>
  </si>
  <si>
    <t>165*38.62*1.6</t>
  </si>
  <si>
    <t>6708-001642-20</t>
  </si>
  <si>
    <t>SMM-ZX1000_RevC01</t>
  </si>
  <si>
    <t>120.4*90*1.57</t>
  </si>
  <si>
    <t>6708-001643-00</t>
  </si>
  <si>
    <t>HUAIHE R1E6-2E6_8-DAC-R-U2_RevA01_SKU1</t>
  </si>
  <si>
    <t>67.1*172*1.6</t>
  </si>
  <si>
    <t>6708-001801-10/11</t>
  </si>
  <si>
    <t>LIAOHE_BPC3200-2-U2-B RevB01_MPS SKU</t>
  </si>
  <si>
    <t>437*228.40*2.36</t>
  </si>
  <si>
    <t>6708-001802-10/11</t>
  </si>
  <si>
    <t>LIAOHE_BF06-U2-F_BP_RevB01_MPS SKU</t>
  </si>
  <si>
    <t>426*90*1.6</t>
  </si>
  <si>
    <t>6708-001833-00</t>
  </si>
  <si>
    <t>XW2.0-X4-2U1</t>
  </si>
  <si>
    <t>69*78.58*2.7</t>
  </si>
  <si>
    <t>6708-001835-00</t>
  </si>
  <si>
    <t>XW2.0-FPB-01</t>
  </si>
  <si>
    <t>400*190*2.4</t>
  </si>
  <si>
    <t>6708-001834-01</t>
  </si>
  <si>
    <t>XW2.0-PB-10</t>
  </si>
  <si>
    <t>195.7*81.0*1.57</t>
  </si>
  <si>
    <t>6708-001830-00</t>
  </si>
  <si>
    <t>XW2.0-FP-10</t>
  </si>
  <si>
    <t>272.5*179.8*1.6</t>
  </si>
  <si>
    <t>6708-001832-00</t>
  </si>
  <si>
    <t>XW2.0-CM-10</t>
  </si>
  <si>
    <t>6708-001836-00</t>
  </si>
  <si>
    <t>XW2.0-BP-10-X16</t>
  </si>
  <si>
    <t>415.2*250.2*2.4</t>
  </si>
  <si>
    <t>6708-001837-00</t>
  </si>
  <si>
    <t>XW2.0-BP-01-X16 02574-1P1</t>
  </si>
  <si>
    <t>280.38*79.78*2.7</t>
  </si>
  <si>
    <t>6708-001850-03</t>
  </si>
  <si>
    <t>QDH_R1E6-1E8-2MC-L-U2_A01 SKU1_New</t>
  </si>
  <si>
    <t>315*135.6*2.0mm</t>
  </si>
  <si>
    <t>6708-001851-03</t>
  </si>
  <si>
    <t>QDH_ME1GS3-C3-REALTEK_A01_SKU1_New</t>
  </si>
  <si>
    <t>337.31*257.05*1.57mm</t>
  </si>
  <si>
    <t>6708-002104-00</t>
  </si>
  <si>
    <t>XW3.0-FP-01-B</t>
  </si>
  <si>
    <t>106*35.5*1.6</t>
  </si>
  <si>
    <t>6708-002103-00</t>
  </si>
  <si>
    <t>XW3.0-FP-01-F</t>
  </si>
  <si>
    <t>78*57.6*1.6</t>
  </si>
  <si>
    <t>6708-002105-01</t>
  </si>
  <si>
    <t>XW3.0-EC-01</t>
  </si>
  <si>
    <t>60*30*0.8</t>
  </si>
  <si>
    <t>6708-002102-00</t>
  </si>
  <si>
    <t>XW3.0-FB-01</t>
  </si>
  <si>
    <t>440*194*2</t>
  </si>
  <si>
    <t>6708-002101-00</t>
  </si>
  <si>
    <t>XW3.0-PB-01</t>
  </si>
  <si>
    <t>95*80*2.4</t>
  </si>
  <si>
    <t>6708-002109-00</t>
  </si>
  <si>
    <t>XW3.0-FP-0101-2UM</t>
  </si>
  <si>
    <t>81*184.65*1.6</t>
  </si>
  <si>
    <t>6708-002107-00</t>
  </si>
  <si>
    <t>XW3.0-BP-0101-X4</t>
  </si>
  <si>
    <t>92*79*2.7</t>
  </si>
  <si>
    <t>6708-001791-12/13</t>
  </si>
  <si>
    <t>BF15-U6 B01 SKU1 24004278</t>
  </si>
  <si>
    <t>433.4*194*2.0</t>
  </si>
  <si>
    <t>6708-001792-12/13</t>
  </si>
  <si>
    <t>BPC3700-4-U6 B01 SKU1 24004279</t>
  </si>
  <si>
    <t>422*165*2.6</t>
  </si>
  <si>
    <t>6708-002113-00</t>
  </si>
  <si>
    <t>XW3.0-BP-0105</t>
  </si>
  <si>
    <t>139*78*</t>
  </si>
  <si>
    <t>6708-001642-22</t>
  </si>
  <si>
    <t>SMM-ZX1000_RevC01_GCH</t>
  </si>
  <si>
    <t>6708-001838-00</t>
  </si>
  <si>
    <t>XW2.0 PDB-3U-4PSU</t>
  </si>
  <si>
    <t>434*95*2.4</t>
  </si>
  <si>
    <t>6708-001839-00</t>
  </si>
  <si>
    <t>XW2.0 FAN-3U-5X8056</t>
  </si>
  <si>
    <t>431.4*36*1.6</t>
  </si>
  <si>
    <t>6708-001900-10</t>
  </si>
  <si>
    <t>HAIHE_BD12G15-SAS-U3 REV.B01</t>
  </si>
  <si>
    <t>422.29*122.90*2.36</t>
  </si>
  <si>
    <t>6708-001901-10</t>
  </si>
  <si>
    <t>HAIHE_SH34-S8148-EXP-BOARD_REV.B01</t>
  </si>
  <si>
    <t>174.4* 137.85*1.8</t>
  </si>
  <si>
    <t>6708-001902-10</t>
  </si>
  <si>
    <t>HAIHE_BF05-U2 REV.B01</t>
  </si>
  <si>
    <t>411*37*2</t>
  </si>
  <si>
    <t>6708-001903-10</t>
  </si>
  <si>
    <t>HAIHE_BF08-U1-B REV.B01</t>
  </si>
  <si>
    <t>426*37.53*1.6</t>
  </si>
  <si>
    <t>6708-001904-10</t>
  </si>
  <si>
    <t>HAIHE_BPC3200-4-U2 REV.B01</t>
  </si>
  <si>
    <t>435.88*116.19*2.36</t>
  </si>
  <si>
    <t>6708-001905-10</t>
  </si>
  <si>
    <t>HAIHE_BPO3200-1-U1 REV.B01</t>
  </si>
  <si>
    <t>85.32*84.51*1.6</t>
  </si>
  <si>
    <t>6708-001906-10</t>
  </si>
  <si>
    <t>HAIHE_FP-D6-U4 REV.B01</t>
  </si>
  <si>
    <t>43.8*21.4*1.6</t>
  </si>
  <si>
    <t>6708-001907-53</t>
  </si>
  <si>
    <t>R1E6-1E8-DAC-CAB-B-U1 B1 L9ZPE128-SD-R L</t>
  </si>
  <si>
    <t>31.3*221.5*1.57</t>
  </si>
  <si>
    <t>6708-001908-10</t>
  </si>
  <si>
    <t>HAIHE_R1E6-DAC-L-U1-B B01</t>
  </si>
  <si>
    <t>186.84*21.55*1.6</t>
  </si>
  <si>
    <t>6708-001909-10</t>
  </si>
  <si>
    <t>HAIHE_R2E6-DAC-R-U2-D B01</t>
  </si>
  <si>
    <t>189.72*39.29*1.6</t>
  </si>
  <si>
    <t>6708-001793-10</t>
  </si>
  <si>
    <t>423*151*1.55</t>
  </si>
  <si>
    <t>6708-001051-50</t>
  </si>
  <si>
    <t>R10E6-20MC8-H-U4 R1.1</t>
  </si>
  <si>
    <t>6708-001355-10</t>
  </si>
  <si>
    <t>WeiHe BD32G12-8639P-U2 B01</t>
  </si>
  <si>
    <t>203.5*77.2*2.4</t>
  </si>
  <si>
    <t>6708-001353-10</t>
  </si>
  <si>
    <t>WeiHe BPC3200-2-U2-C B01</t>
  </si>
  <si>
    <t>76.4*80.56*3</t>
  </si>
  <si>
    <t>6708-001354-10</t>
  </si>
  <si>
    <t>WeiHe R1E6-2E6_8-DAC-L-U2 B01</t>
  </si>
  <si>
    <t>172*67.1*1.6</t>
  </si>
  <si>
    <t>6708-001351-20</t>
  </si>
  <si>
    <t>WeiHe PDB-U2-R C01</t>
  </si>
  <si>
    <t>211*184.31*1.57</t>
  </si>
  <si>
    <t>6708-001352-20</t>
  </si>
  <si>
    <t>WeiHe PDB-U2-L C01</t>
  </si>
  <si>
    <t>209*184.31*1.57</t>
  </si>
  <si>
    <t>6708-000874</t>
  </si>
  <si>
    <t>LUOHE_BD32G04-8639-U2-C_RevA01_GCH SKU1</t>
  </si>
  <si>
    <t>137.75*171.46</t>
  </si>
  <si>
    <t>6708-001560-10</t>
  </si>
  <si>
    <t>R1E6-1E8-2MC6-L-U2 A02</t>
  </si>
  <si>
    <t>222.22*74.05*1.57</t>
  </si>
  <si>
    <t>6708-000851-10/11</t>
  </si>
  <si>
    <t>Nanhai BD12G02-SAS-U2 C01</t>
  </si>
  <si>
    <t>74.7*36.2*2.4</t>
  </si>
  <si>
    <t>BD32G24-8639-U2-EXP_REVC01</t>
  </si>
  <si>
    <t>BD32G24-8639-U2_REVC01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</si>
</sst>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 * #,##0.00_ ;_ * \-#,##0.00_ ;_ * &quot;-&quot;??_ ;_ @_ "/>
    <numFmt numFmtId="178" formatCode="_-* #,##0.00_-;\-* #,##0.00_-;_-* &quot;-&quot;??_-;_-@_-"/>
    <numFmt numFmtId="179" formatCode="0_);[Red]\(0\)"/>
    <numFmt numFmtId="180" formatCode="yyyymmdd"/>
    <numFmt numFmtId="181" formatCode="#,##0.0_);[Red]\(#,##0.0\)"/>
    <numFmt numFmtId="182" formatCode="#,##0_);[Red]\(#,##0\)"/>
    <numFmt numFmtId="183" formatCode="0_ "/>
    <numFmt numFmtId="184" formatCode="#,##0.00_);[Red]\(#,##0.00\)"/>
    <numFmt numFmtId="185" formatCode="#,##0.00_ "/>
    <numFmt numFmtId="186" formatCode="0.0_);[Red]\(0.0\)"/>
    <numFmt numFmtId="187" formatCode="0.00_);[Red]\(0.00\)"/>
    <numFmt numFmtId="188" formatCode="0.00_ "/>
    <numFmt numFmtId="189" formatCode="0.0_ "/>
    <numFmt numFmtId="190" formatCode="_ * #,##0_ ;_ * \-#,##0_ ;_ * &quot;-&quot;??_ ;_ @_ "/>
  </numFmts>
  <fonts count="44" x14ac:knownFonts="1">
    <font>
      <sz val="11"/>
      <color theme="1"/>
      <name val="宋体"/>
      <charset val="134"/>
      <scheme val="minor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宋体"/>
      <charset val="134"/>
      <scheme val="minor"/>
    </font>
    <font>
      <sz val="12"/>
      <name val="Calibri"/>
      <family val="2"/>
    </font>
    <font>
      <sz val="11"/>
      <name val="Calibri"/>
      <family val="2"/>
    </font>
    <font>
      <sz val="12"/>
      <color theme="1"/>
      <name val="宋体"/>
      <charset val="134"/>
    </font>
    <font>
      <b/>
      <sz val="10"/>
      <name val="Calibri"/>
      <family val="2"/>
    </font>
    <font>
      <b/>
      <sz val="11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sz val="10"/>
      <name val="宋体"/>
      <charset val="134"/>
    </font>
    <font>
      <sz val="10"/>
      <color rgb="FF0003C0"/>
      <name val="Calibri"/>
      <family val="2"/>
    </font>
    <font>
      <sz val="10"/>
      <color rgb="FF0000CC"/>
      <name val="Calibri"/>
      <family val="2"/>
    </font>
    <font>
      <b/>
      <sz val="12"/>
      <color theme="1"/>
      <name val="Calibri"/>
      <family val="2"/>
    </font>
    <font>
      <sz val="10"/>
      <color rgb="FF4F0FBD"/>
      <name val="Calibri"/>
      <family val="2"/>
    </font>
    <font>
      <b/>
      <sz val="10"/>
      <color rgb="FF0000CC"/>
      <name val="Calibri"/>
      <family val="2"/>
    </font>
    <font>
      <b/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1"/>
      <color theme="1"/>
      <name val="Calibri"/>
      <family val="2"/>
    </font>
    <font>
      <b/>
      <sz val="12"/>
      <name val="宋体"/>
      <charset val="134"/>
    </font>
    <font>
      <b/>
      <sz val="12"/>
      <name val="Calibri"/>
      <family val="2"/>
    </font>
    <font>
      <sz val="10"/>
      <color theme="1"/>
      <name val="宋体"/>
      <charset val="134"/>
    </font>
    <font>
      <sz val="10"/>
      <color rgb="FF0000E1"/>
      <name val="Calibri"/>
      <family val="2"/>
    </font>
    <font>
      <sz val="10"/>
      <color rgb="FF2000C0"/>
      <name val="Calibri"/>
      <family val="2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sz val="12"/>
      <name val="新細明體"/>
      <charset val="136"/>
    </font>
    <font>
      <sz val="12"/>
      <name val="新細明體"/>
      <charset val="134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Tahoma"/>
      <family val="2"/>
    </font>
    <font>
      <sz val="10"/>
      <color theme="1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15363017670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43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0" fillId="0" borderId="0"/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1" fillId="0" borderId="0"/>
    <xf numFmtId="0" fontId="29" fillId="0" borderId="0">
      <alignment vertical="center"/>
    </xf>
    <xf numFmtId="0" fontId="30" fillId="0" borderId="0"/>
    <xf numFmtId="0" fontId="30" fillId="0" borderId="0"/>
    <xf numFmtId="0" fontId="34" fillId="0" borderId="0"/>
    <xf numFmtId="0" fontId="30" fillId="0" borderId="0"/>
    <xf numFmtId="43" fontId="29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178" fontId="30" fillId="0" borderId="0" applyFont="0" applyFill="0" applyBorder="0" applyAlignment="0" applyProtection="0">
      <alignment vertical="center"/>
    </xf>
    <xf numFmtId="0" fontId="30" fillId="0" borderId="0"/>
    <xf numFmtId="0" fontId="32" fillId="0" borderId="0">
      <alignment vertical="center"/>
    </xf>
  </cellStyleXfs>
  <cellXfs count="219">
    <xf numFmtId="0" fontId="0" fillId="0" borderId="0" xfId="0"/>
    <xf numFmtId="0" fontId="1" fillId="0" borderId="0" xfId="6" applyFont="1" applyFill="1" applyAlignment="1">
      <alignment vertical="center"/>
    </xf>
    <xf numFmtId="0" fontId="2" fillId="0" borderId="0" xfId="6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/>
    <xf numFmtId="0" fontId="5" fillId="0" borderId="0" xfId="0" applyFont="1" applyAlignment="1"/>
    <xf numFmtId="0" fontId="5" fillId="0" borderId="0" xfId="0" applyNumberFormat="1" applyFont="1" applyFill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left"/>
    </xf>
    <xf numFmtId="179" fontId="6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" fillId="0" borderId="0" xfId="6" applyNumberFormat="1" applyFont="1" applyFill="1" applyAlignment="1">
      <alignment horizontal="left" vertical="center"/>
    </xf>
    <xf numFmtId="0" fontId="7" fillId="0" borderId="0" xfId="6" applyFont="1" applyFill="1" applyAlignment="1">
      <alignment vertical="center"/>
    </xf>
    <xf numFmtId="0" fontId="1" fillId="0" borderId="0" xfId="6" applyFont="1" applyFill="1" applyAlignment="1">
      <alignment horizontal="center" vertical="center"/>
    </xf>
    <xf numFmtId="9" fontId="1" fillId="0" borderId="0" xfId="6" applyNumberFormat="1" applyFont="1" applyFill="1" applyAlignment="1">
      <alignment horizontal="left" vertical="center"/>
    </xf>
    <xf numFmtId="9" fontId="5" fillId="0" borderId="0" xfId="6" applyNumberFormat="1" applyFont="1" applyFill="1" applyAlignment="1">
      <alignment horizontal="left" vertical="center"/>
    </xf>
    <xf numFmtId="0" fontId="8" fillId="0" borderId="1" xfId="3" applyFont="1" applyFill="1" applyBorder="1" applyAlignment="1">
      <alignment horizontal="left" vertical="center" wrapText="1"/>
    </xf>
    <xf numFmtId="0" fontId="9" fillId="0" borderId="1" xfId="3" applyFont="1" applyFill="1" applyBorder="1" applyAlignment="1">
      <alignment horizontal="center" vertical="center" wrapText="1"/>
    </xf>
    <xf numFmtId="0" fontId="9" fillId="0" borderId="1" xfId="3" applyNumberFormat="1" applyFont="1" applyFill="1" applyBorder="1" applyAlignment="1">
      <alignment horizontal="left" vertical="center" wrapText="1"/>
    </xf>
    <xf numFmtId="0" fontId="9" fillId="0" borderId="1" xfId="6" applyFont="1" applyFill="1" applyBorder="1" applyAlignment="1">
      <alignment horizontal="left" vertical="center" wrapText="1"/>
    </xf>
    <xf numFmtId="180" fontId="2" fillId="0" borderId="1" xfId="0" applyNumberFormat="1" applyFont="1" applyFill="1" applyBorder="1" applyAlignment="1">
      <alignment horizontal="left" vertical="center"/>
    </xf>
    <xf numFmtId="0" fontId="3" fillId="0" borderId="1" xfId="9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38" fontId="3" fillId="0" borderId="1" xfId="3" applyNumberFormat="1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left" vertical="center"/>
    </xf>
    <xf numFmtId="181" fontId="3" fillId="0" borderId="1" xfId="6" applyNumberFormat="1" applyFont="1" applyFill="1" applyBorder="1" applyAlignment="1">
      <alignment horizontal="left" vertical="center"/>
    </xf>
    <xf numFmtId="181" fontId="10" fillId="0" borderId="1" xfId="6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3" fillId="0" borderId="1" xfId="3" applyNumberFormat="1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180" fontId="2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3" applyNumberFormat="1" applyFont="1" applyFill="1" applyBorder="1" applyAlignment="1">
      <alignment horizontal="left" vertical="center"/>
    </xf>
    <xf numFmtId="181" fontId="3" fillId="2" borderId="1" xfId="6" applyNumberFormat="1" applyFont="1" applyFill="1" applyBorder="1" applyAlignment="1">
      <alignment horizontal="left" vertical="center"/>
    </xf>
    <xf numFmtId="179" fontId="3" fillId="0" borderId="1" xfId="1" applyNumberFormat="1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/>
    </xf>
    <xf numFmtId="0" fontId="3" fillId="0" borderId="1" xfId="14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179" fontId="3" fillId="2" borderId="1" xfId="1" applyNumberFormat="1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left" vertical="center"/>
    </xf>
    <xf numFmtId="0" fontId="12" fillId="2" borderId="1" xfId="4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0" fontId="3" fillId="2" borderId="1" xfId="3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4" applyNumberFormat="1" applyFont="1" applyFill="1" applyBorder="1" applyAlignment="1">
      <alignment horizontal="left" vertical="center"/>
    </xf>
    <xf numFmtId="38" fontId="3" fillId="2" borderId="1" xfId="3" applyNumberFormat="1" applyFont="1" applyFill="1" applyBorder="1" applyAlignment="1">
      <alignment horizontal="left" vertical="center"/>
    </xf>
    <xf numFmtId="0" fontId="3" fillId="2" borderId="1" xfId="4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left" vertical="center"/>
    </xf>
    <xf numFmtId="181" fontId="13" fillId="0" borderId="1" xfId="6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182" fontId="3" fillId="0" borderId="1" xfId="9" applyNumberFormat="1" applyFont="1" applyFill="1" applyBorder="1" applyAlignment="1">
      <alignment horizontal="left" vertical="center"/>
    </xf>
    <xf numFmtId="179" fontId="3" fillId="0" borderId="1" xfId="9" applyNumberFormat="1" applyFont="1" applyFill="1" applyBorder="1" applyAlignment="1">
      <alignment horizontal="left" vertical="center"/>
    </xf>
    <xf numFmtId="38" fontId="3" fillId="0" borderId="1" xfId="3" applyNumberFormat="1" applyFont="1" applyFill="1" applyBorder="1" applyAlignment="1">
      <alignment horizontal="center" vertical="center"/>
    </xf>
    <xf numFmtId="179" fontId="14" fillId="0" borderId="1" xfId="3" applyNumberFormat="1" applyFont="1" applyFill="1" applyBorder="1" applyAlignment="1">
      <alignment horizontal="left" vertical="center"/>
    </xf>
    <xf numFmtId="0" fontId="11" fillId="0" borderId="1" xfId="8" applyFont="1" applyFill="1" applyBorder="1" applyAlignment="1">
      <alignment vertical="center"/>
    </xf>
    <xf numFmtId="181" fontId="2" fillId="0" borderId="1" xfId="6" applyNumberFormat="1" applyFont="1" applyFill="1" applyBorder="1" applyAlignment="1">
      <alignment horizontal="left" vertical="center"/>
    </xf>
    <xf numFmtId="0" fontId="3" fillId="4" borderId="1" xfId="4" applyNumberFormat="1" applyFont="1" applyFill="1" applyBorder="1" applyAlignment="1">
      <alignment horizontal="left" vertical="center"/>
    </xf>
    <xf numFmtId="0" fontId="3" fillId="4" borderId="1" xfId="4" applyNumberFormat="1" applyFont="1" applyFill="1" applyBorder="1" applyAlignment="1">
      <alignment horizontal="left" vertical="center" wrapText="1"/>
    </xf>
    <xf numFmtId="0" fontId="2" fillId="0" borderId="1" xfId="6" applyFont="1" applyFill="1" applyBorder="1" applyAlignment="1">
      <alignment vertical="center"/>
    </xf>
    <xf numFmtId="0" fontId="2" fillId="0" borderId="1" xfId="7" applyFont="1" applyFill="1" applyBorder="1" applyAlignment="1">
      <alignment horizontal="left" vertical="center"/>
    </xf>
    <xf numFmtId="183" fontId="11" fillId="0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5" fillId="0" borderId="0" xfId="6" applyFont="1" applyFill="1" applyBorder="1" applyAlignment="1">
      <alignment horizontal="left" vertical="center"/>
    </xf>
    <xf numFmtId="0" fontId="5" fillId="0" borderId="0" xfId="6" applyFont="1" applyFill="1" applyAlignment="1">
      <alignment horizontal="left" vertical="center"/>
    </xf>
    <xf numFmtId="0" fontId="1" fillId="0" borderId="0" xfId="6" applyFont="1" applyFill="1" applyAlignment="1">
      <alignment horizontal="left" vertical="center"/>
    </xf>
    <xf numFmtId="184" fontId="9" fillId="0" borderId="1" xfId="6" applyNumberFormat="1" applyFont="1" applyFill="1" applyBorder="1" applyAlignment="1">
      <alignment horizontal="left" vertical="center" wrapText="1"/>
    </xf>
    <xf numFmtId="182" fontId="8" fillId="0" borderId="1" xfId="6" applyNumberFormat="1" applyFont="1" applyFill="1" applyBorder="1" applyAlignment="1">
      <alignment horizontal="left" vertical="center"/>
    </xf>
    <xf numFmtId="182" fontId="3" fillId="0" borderId="1" xfId="6" applyNumberFormat="1" applyFont="1" applyFill="1" applyBorder="1" applyAlignment="1">
      <alignment horizontal="left" vertical="center"/>
    </xf>
    <xf numFmtId="184" fontId="3" fillId="0" borderId="1" xfId="6" applyNumberFormat="1" applyFont="1" applyFill="1" applyBorder="1" applyAlignment="1">
      <alignment horizontal="left" vertical="center"/>
    </xf>
    <xf numFmtId="182" fontId="10" fillId="0" borderId="1" xfId="6" applyNumberFormat="1" applyFont="1" applyFill="1" applyBorder="1" applyAlignment="1">
      <alignment horizontal="left" vertical="center"/>
    </xf>
    <xf numFmtId="182" fontId="8" fillId="2" borderId="1" xfId="6" applyNumberFormat="1" applyFont="1" applyFill="1" applyBorder="1" applyAlignment="1">
      <alignment horizontal="left" vertical="center"/>
    </xf>
    <xf numFmtId="183" fontId="14" fillId="2" borderId="1" xfId="15" applyNumberFormat="1" applyFont="1" applyFill="1" applyBorder="1" applyAlignment="1">
      <alignment horizontal="left" vertical="center" wrapText="1"/>
    </xf>
    <xf numFmtId="182" fontId="3" fillId="2" borderId="1" xfId="6" applyNumberFormat="1" applyFont="1" applyFill="1" applyBorder="1" applyAlignment="1">
      <alignment horizontal="left" vertical="center"/>
    </xf>
    <xf numFmtId="184" fontId="3" fillId="2" borderId="1" xfId="6" applyNumberFormat="1" applyFont="1" applyFill="1" applyBorder="1" applyAlignment="1">
      <alignment horizontal="left" vertical="center"/>
    </xf>
    <xf numFmtId="184" fontId="14" fillId="0" borderId="1" xfId="6" applyNumberFormat="1" applyFont="1" applyFill="1" applyBorder="1" applyAlignment="1">
      <alignment horizontal="left" vertical="center"/>
    </xf>
    <xf numFmtId="184" fontId="16" fillId="0" borderId="1" xfId="6" applyNumberFormat="1" applyFont="1" applyFill="1" applyBorder="1" applyAlignment="1">
      <alignment horizontal="left" vertical="center"/>
    </xf>
    <xf numFmtId="182" fontId="17" fillId="0" borderId="1" xfId="6" applyNumberFormat="1" applyFont="1" applyFill="1" applyBorder="1" applyAlignment="1">
      <alignment horizontal="left" vertical="center"/>
    </xf>
    <xf numFmtId="181" fontId="2" fillId="2" borderId="1" xfId="6" applyNumberFormat="1" applyFont="1" applyFill="1" applyBorder="1" applyAlignment="1">
      <alignment horizontal="left" vertical="center"/>
    </xf>
    <xf numFmtId="182" fontId="17" fillId="2" borderId="1" xfId="6" applyNumberFormat="1" applyFont="1" applyFill="1" applyBorder="1" applyAlignment="1">
      <alignment horizontal="left" vertical="center"/>
    </xf>
    <xf numFmtId="182" fontId="18" fillId="0" borderId="1" xfId="6" applyNumberFormat="1" applyFont="1" applyFill="1" applyBorder="1" applyAlignment="1">
      <alignment horizontal="left" vertical="center"/>
    </xf>
    <xf numFmtId="182" fontId="19" fillId="0" borderId="1" xfId="6" applyNumberFormat="1" applyFont="1" applyFill="1" applyBorder="1" applyAlignment="1">
      <alignment horizontal="left" vertical="center"/>
    </xf>
    <xf numFmtId="182" fontId="18" fillId="2" borderId="1" xfId="6" applyNumberFormat="1" applyFont="1" applyFill="1" applyBorder="1" applyAlignment="1">
      <alignment horizontal="left" vertical="center"/>
    </xf>
    <xf numFmtId="182" fontId="13" fillId="0" borderId="1" xfId="6" applyNumberFormat="1" applyFont="1" applyFill="1" applyBorder="1" applyAlignment="1">
      <alignment horizontal="left" vertical="center"/>
    </xf>
    <xf numFmtId="182" fontId="20" fillId="3" borderId="1" xfId="6" applyNumberFormat="1" applyFont="1" applyFill="1" applyBorder="1" applyAlignment="1">
      <alignment horizontal="left" vertical="center"/>
    </xf>
    <xf numFmtId="182" fontId="20" fillId="6" borderId="1" xfId="6" applyNumberFormat="1" applyFont="1" applyFill="1" applyBorder="1" applyAlignment="1">
      <alignment horizontal="left" vertical="center"/>
    </xf>
    <xf numFmtId="184" fontId="17" fillId="0" borderId="1" xfId="6" applyNumberFormat="1" applyFont="1" applyFill="1" applyBorder="1" applyAlignment="1">
      <alignment horizontal="left" vertical="center"/>
    </xf>
    <xf numFmtId="182" fontId="20" fillId="0" borderId="1" xfId="6" applyNumberFormat="1" applyFont="1" applyFill="1" applyBorder="1" applyAlignment="1">
      <alignment horizontal="left" vertical="center"/>
    </xf>
    <xf numFmtId="181" fontId="21" fillId="0" borderId="1" xfId="6" applyNumberFormat="1" applyFont="1" applyFill="1" applyBorder="1" applyAlignment="1">
      <alignment horizontal="left" vertical="center"/>
    </xf>
    <xf numFmtId="0" fontId="14" fillId="0" borderId="1" xfId="5" applyNumberFormat="1" applyFont="1" applyFill="1" applyBorder="1" applyAlignment="1">
      <alignment horizontal="left" vertical="center"/>
    </xf>
    <xf numFmtId="0" fontId="2" fillId="0" borderId="1" xfId="5" applyNumberFormat="1" applyFont="1" applyFill="1" applyBorder="1" applyAlignment="1">
      <alignment horizontal="left" vertical="center"/>
    </xf>
    <xf numFmtId="0" fontId="3" fillId="0" borderId="1" xfId="5" applyNumberFormat="1" applyFont="1" applyFill="1" applyBorder="1" applyAlignment="1">
      <alignment horizontal="left" vertical="center"/>
    </xf>
    <xf numFmtId="10" fontId="1" fillId="0" borderId="0" xfId="6" applyNumberFormat="1" applyFont="1" applyFill="1" applyAlignment="1">
      <alignment horizontal="left" vertical="center"/>
    </xf>
    <xf numFmtId="0" fontId="1" fillId="3" borderId="0" xfId="6" applyFont="1" applyFill="1" applyAlignment="1">
      <alignment horizontal="left" vertical="center"/>
    </xf>
    <xf numFmtId="184" fontId="9" fillId="7" borderId="1" xfId="6" applyNumberFormat="1" applyFont="1" applyFill="1" applyBorder="1" applyAlignment="1">
      <alignment horizontal="left" vertical="center" wrapText="1"/>
    </xf>
    <xf numFmtId="0" fontId="9" fillId="0" borderId="1" xfId="3" applyFont="1" applyFill="1" applyBorder="1" applyAlignment="1">
      <alignment horizontal="left" vertical="center" wrapText="1"/>
    </xf>
    <xf numFmtId="184" fontId="3" fillId="7" borderId="1" xfId="6" applyNumberFormat="1" applyFont="1" applyFill="1" applyBorder="1" applyAlignment="1">
      <alignment horizontal="left" vertical="center"/>
    </xf>
    <xf numFmtId="184" fontId="2" fillId="0" borderId="1" xfId="6" applyNumberFormat="1" applyFont="1" applyFill="1" applyBorder="1" applyAlignment="1">
      <alignment horizontal="left" vertical="center"/>
    </xf>
    <xf numFmtId="185" fontId="3" fillId="0" borderId="1" xfId="6" applyNumberFormat="1" applyFont="1" applyFill="1" applyBorder="1" applyAlignment="1">
      <alignment horizontal="left" vertical="center"/>
    </xf>
    <xf numFmtId="0" fontId="10" fillId="0" borderId="1" xfId="6" applyNumberFormat="1" applyFont="1" applyFill="1" applyBorder="1" applyAlignment="1">
      <alignment horizontal="left" vertical="center"/>
    </xf>
    <xf numFmtId="0" fontId="3" fillId="0" borderId="1" xfId="6" applyNumberFormat="1" applyFont="1" applyFill="1" applyBorder="1" applyAlignment="1">
      <alignment horizontal="left" vertical="center"/>
    </xf>
    <xf numFmtId="179" fontId="3" fillId="0" borderId="1" xfId="0" applyNumberFormat="1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185" fontId="3" fillId="2" borderId="1" xfId="16" applyNumberFormat="1" applyFont="1" applyFill="1" applyBorder="1" applyAlignment="1">
      <alignment horizontal="left" vertical="center"/>
    </xf>
    <xf numFmtId="185" fontId="14" fillId="2" borderId="1" xfId="6" applyNumberFormat="1" applyFont="1" applyFill="1" applyBorder="1" applyAlignment="1">
      <alignment horizontal="left" vertical="center"/>
    </xf>
    <xf numFmtId="0" fontId="2" fillId="2" borderId="1" xfId="6" applyNumberFormat="1" applyFont="1" applyFill="1" applyBorder="1" applyAlignment="1">
      <alignment horizontal="left" vertical="center"/>
    </xf>
    <xf numFmtId="186" fontId="3" fillId="0" borderId="1" xfId="6" applyNumberFormat="1" applyFont="1" applyFill="1" applyBorder="1" applyAlignment="1">
      <alignment horizontal="left" vertical="center"/>
    </xf>
    <xf numFmtId="38" fontId="3" fillId="0" borderId="1" xfId="3" applyNumberFormat="1" applyFont="1" applyFill="1" applyBorder="1" applyAlignment="1">
      <alignment horizontal="left"/>
    </xf>
    <xf numFmtId="0" fontId="2" fillId="0" borderId="1" xfId="6" applyNumberFormat="1" applyFont="1" applyFill="1" applyBorder="1" applyAlignment="1">
      <alignment horizontal="left" vertical="center"/>
    </xf>
    <xf numFmtId="0" fontId="2" fillId="0" borderId="1" xfId="6" applyFont="1" applyFill="1" applyBorder="1" applyAlignment="1">
      <alignment horizontal="left" vertical="center"/>
    </xf>
    <xf numFmtId="184" fontId="2" fillId="2" borderId="1" xfId="6" applyNumberFormat="1" applyFont="1" applyFill="1" applyBorder="1" applyAlignment="1">
      <alignment horizontal="left" vertical="center"/>
    </xf>
    <xf numFmtId="187" fontId="3" fillId="2" borderId="1" xfId="0" applyNumberFormat="1" applyFont="1" applyFill="1" applyBorder="1" applyAlignment="1">
      <alignment horizontal="left" vertical="center"/>
    </xf>
    <xf numFmtId="0" fontId="3" fillId="2" borderId="1" xfId="6" applyNumberFormat="1" applyFont="1" applyFill="1" applyBorder="1" applyAlignment="1">
      <alignment horizontal="left" vertical="center"/>
    </xf>
    <xf numFmtId="187" fontId="2" fillId="0" borderId="1" xfId="0" applyNumberFormat="1" applyFont="1" applyFill="1" applyBorder="1" applyAlignment="1">
      <alignment horizontal="left"/>
    </xf>
    <xf numFmtId="185" fontId="14" fillId="0" borderId="1" xfId="6" applyNumberFormat="1" applyFont="1" applyFill="1" applyBorder="1" applyAlignment="1">
      <alignment horizontal="left" vertical="center"/>
    </xf>
    <xf numFmtId="38" fontId="3" fillId="2" borderId="1" xfId="3" applyNumberFormat="1" applyFont="1" applyFill="1" applyBorder="1" applyAlignment="1">
      <alignment horizontal="left"/>
    </xf>
    <xf numFmtId="181" fontId="14" fillId="2" borderId="1" xfId="6" applyNumberFormat="1" applyFont="1" applyFill="1" applyBorder="1" applyAlignment="1">
      <alignment horizontal="left" vertical="center"/>
    </xf>
    <xf numFmtId="182" fontId="14" fillId="0" borderId="1" xfId="6" applyNumberFormat="1" applyFont="1" applyFill="1" applyBorder="1" applyAlignment="1">
      <alignment horizontal="left" vertical="center"/>
    </xf>
    <xf numFmtId="187" fontId="3" fillId="0" borderId="1" xfId="0" applyNumberFormat="1" applyFont="1" applyFill="1" applyBorder="1" applyAlignment="1">
      <alignment horizontal="left"/>
    </xf>
    <xf numFmtId="182" fontId="21" fillId="0" borderId="1" xfId="6" applyNumberFormat="1" applyFont="1" applyFill="1" applyBorder="1" applyAlignment="1">
      <alignment horizontal="left" vertical="center"/>
    </xf>
    <xf numFmtId="0" fontId="14" fillId="2" borderId="1" xfId="6" applyNumberFormat="1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left" vertical="center"/>
    </xf>
    <xf numFmtId="0" fontId="14" fillId="0" borderId="1" xfId="6" applyNumberFormat="1" applyFont="1" applyFill="1" applyBorder="1" applyAlignment="1">
      <alignment horizontal="left" vertical="center"/>
    </xf>
    <xf numFmtId="182" fontId="2" fillId="0" borderId="1" xfId="6" applyNumberFormat="1" applyFont="1" applyFill="1" applyBorder="1" applyAlignment="1">
      <alignment horizontal="left" vertical="center"/>
    </xf>
    <xf numFmtId="188" fontId="3" fillId="0" borderId="1" xfId="6" applyNumberFormat="1" applyFont="1" applyFill="1" applyBorder="1" applyAlignment="1">
      <alignment horizontal="left" vertical="center"/>
    </xf>
    <xf numFmtId="179" fontId="3" fillId="0" borderId="1" xfId="8" applyNumberFormat="1" applyFont="1" applyFill="1" applyBorder="1" applyAlignment="1">
      <alignment horizontal="left" vertical="center"/>
    </xf>
    <xf numFmtId="187" fontId="2" fillId="0" borderId="1" xfId="0" applyNumberFormat="1" applyFont="1" applyFill="1" applyBorder="1" applyAlignment="1">
      <alignment horizontal="left" vertical="center"/>
    </xf>
    <xf numFmtId="185" fontId="2" fillId="0" borderId="1" xfId="6" applyNumberFormat="1" applyFont="1" applyFill="1" applyBorder="1" applyAlignment="1">
      <alignment horizontal="left" vertical="center"/>
    </xf>
    <xf numFmtId="188" fontId="14" fillId="0" borderId="1" xfId="6" applyNumberFormat="1" applyFont="1" applyFill="1" applyBorder="1" applyAlignment="1">
      <alignment horizontal="left" vertical="center"/>
    </xf>
    <xf numFmtId="179" fontId="22" fillId="0" borderId="0" xfId="6" applyNumberFormat="1" applyFont="1" applyFill="1" applyAlignment="1">
      <alignment horizontal="center" vertical="center"/>
    </xf>
    <xf numFmtId="0" fontId="9" fillId="3" borderId="1" xfId="6" applyFont="1" applyFill="1" applyBorder="1" applyAlignment="1">
      <alignment horizontal="left" vertical="center" wrapText="1"/>
    </xf>
    <xf numFmtId="0" fontId="23" fillId="5" borderId="1" xfId="6" applyFont="1" applyFill="1" applyBorder="1" applyAlignment="1">
      <alignment horizontal="center" vertical="center" wrapText="1"/>
    </xf>
    <xf numFmtId="0" fontId="24" fillId="0" borderId="0" xfId="6" applyFont="1" applyFill="1" applyBorder="1" applyAlignment="1">
      <alignment horizontal="center" vertical="center" wrapText="1"/>
    </xf>
    <xf numFmtId="184" fontId="2" fillId="0" borderId="6" xfId="6" applyNumberFormat="1" applyFont="1" applyFill="1" applyBorder="1" applyAlignment="1">
      <alignment horizontal="left" vertical="center"/>
    </xf>
    <xf numFmtId="179" fontId="25" fillId="0" borderId="0" xfId="6" applyNumberFormat="1" applyFont="1" applyFill="1" applyAlignment="1">
      <alignment horizontal="left" vertical="center"/>
    </xf>
    <xf numFmtId="9" fontId="2" fillId="0" borderId="0" xfId="2" applyFont="1" applyFill="1" applyAlignment="1" applyProtection="1">
      <alignment vertical="center"/>
    </xf>
    <xf numFmtId="189" fontId="3" fillId="0" borderId="1" xfId="6" applyNumberFormat="1" applyFont="1" applyFill="1" applyBorder="1" applyAlignment="1">
      <alignment horizontal="left" vertical="center"/>
    </xf>
    <xf numFmtId="2" fontId="3" fillId="0" borderId="0" xfId="0" applyNumberFormat="1" applyFont="1" applyFill="1" applyAlignment="1">
      <alignment horizontal="center" vertical="center"/>
    </xf>
    <xf numFmtId="184" fontId="3" fillId="0" borderId="6" xfId="6" applyNumberFormat="1" applyFont="1" applyFill="1" applyBorder="1" applyAlignment="1">
      <alignment horizontal="left" vertical="center"/>
    </xf>
    <xf numFmtId="179" fontId="14" fillId="0" borderId="1" xfId="0" applyNumberFormat="1" applyFont="1" applyFill="1" applyBorder="1" applyAlignment="1">
      <alignment horizontal="left" vertical="center"/>
    </xf>
    <xf numFmtId="184" fontId="2" fillId="2" borderId="6" xfId="6" applyNumberFormat="1" applyFont="1" applyFill="1" applyBorder="1" applyAlignment="1">
      <alignment horizontal="left" vertical="center"/>
    </xf>
    <xf numFmtId="179" fontId="3" fillId="2" borderId="1" xfId="0" applyNumberFormat="1" applyFont="1" applyFill="1" applyBorder="1" applyAlignment="1">
      <alignment horizontal="left" vertical="center"/>
    </xf>
    <xf numFmtId="179" fontId="14" fillId="2" borderId="1" xfId="0" applyNumberFormat="1" applyFont="1" applyFill="1" applyBorder="1" applyAlignment="1">
      <alignment horizontal="left" vertical="center"/>
    </xf>
    <xf numFmtId="179" fontId="2" fillId="0" borderId="1" xfId="6" applyNumberFormat="1" applyFont="1" applyFill="1" applyBorder="1" applyAlignment="1">
      <alignment horizontal="left" vertical="center"/>
    </xf>
    <xf numFmtId="179" fontId="14" fillId="2" borderId="1" xfId="6" applyNumberFormat="1" applyFont="1" applyFill="1" applyBorder="1" applyAlignment="1">
      <alignment horizontal="left" vertical="center"/>
    </xf>
    <xf numFmtId="0" fontId="2" fillId="2" borderId="1" xfId="6" applyFont="1" applyFill="1" applyBorder="1" applyAlignment="1">
      <alignment horizontal="left" vertical="center"/>
    </xf>
    <xf numFmtId="0" fontId="2" fillId="0" borderId="0" xfId="6" applyFont="1" applyFill="1" applyAlignment="1">
      <alignment horizontal="left" vertical="center"/>
    </xf>
    <xf numFmtId="0" fontId="14" fillId="2" borderId="1" xfId="6" applyFont="1" applyFill="1" applyBorder="1" applyAlignment="1">
      <alignment horizontal="left" vertical="center"/>
    </xf>
    <xf numFmtId="184" fontId="2" fillId="0" borderId="6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/>
    </xf>
    <xf numFmtId="184" fontId="2" fillId="0" borderId="1" xfId="6" applyNumberFormat="1" applyFont="1" applyFill="1" applyBorder="1" applyAlignment="1">
      <alignment horizontal="center" vertical="center"/>
    </xf>
    <xf numFmtId="183" fontId="2" fillId="0" borderId="1" xfId="6" applyNumberFormat="1" applyFont="1" applyFill="1" applyBorder="1" applyAlignment="1">
      <alignment horizontal="left" vertical="center"/>
    </xf>
    <xf numFmtId="179" fontId="3" fillId="0" borderId="1" xfId="3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17" applyNumberFormat="1" applyFont="1" applyFill="1" applyBorder="1" applyAlignment="1">
      <alignment horizontal="left" vertical="center"/>
    </xf>
    <xf numFmtId="0" fontId="3" fillId="4" borderId="1" xfId="17" applyNumberFormat="1" applyFont="1" applyFill="1" applyBorder="1" applyAlignment="1">
      <alignment horizontal="left" vertical="center"/>
    </xf>
    <xf numFmtId="190" fontId="3" fillId="0" borderId="1" xfId="14" applyNumberFormat="1" applyFont="1" applyFill="1" applyBorder="1" applyAlignment="1">
      <alignment vertical="center"/>
    </xf>
    <xf numFmtId="190" fontId="3" fillId="0" borderId="1" xfId="1" applyNumberFormat="1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184" fontId="26" fillId="0" borderId="1" xfId="6" applyNumberFormat="1" applyFont="1" applyFill="1" applyBorder="1" applyAlignment="1">
      <alignment horizontal="left" vertical="center"/>
    </xf>
    <xf numFmtId="182" fontId="8" fillId="7" borderId="1" xfId="6" applyNumberFormat="1" applyFont="1" applyFill="1" applyBorder="1" applyAlignment="1">
      <alignment horizontal="left" vertical="center"/>
    </xf>
    <xf numFmtId="182" fontId="20" fillId="8" borderId="1" xfId="6" applyNumberFormat="1" applyFont="1" applyFill="1" applyBorder="1" applyAlignment="1">
      <alignment horizontal="left" vertical="center"/>
    </xf>
    <xf numFmtId="179" fontId="2" fillId="0" borderId="1" xfId="8" applyNumberFormat="1" applyFont="1" applyFill="1" applyBorder="1" applyAlignment="1">
      <alignment horizontal="left" vertical="center"/>
    </xf>
    <xf numFmtId="182" fontId="3" fillId="3" borderId="1" xfId="6" applyNumberFormat="1" applyFont="1" applyFill="1" applyBorder="1" applyAlignment="1">
      <alignment horizontal="left" vertical="center"/>
    </xf>
    <xf numFmtId="188" fontId="27" fillId="0" borderId="1" xfId="6" applyNumberFormat="1" applyFont="1" applyFill="1" applyBorder="1" applyAlignment="1">
      <alignment horizontal="left" vertical="center"/>
    </xf>
    <xf numFmtId="182" fontId="14" fillId="3" borderId="1" xfId="6" applyNumberFormat="1" applyFont="1" applyFill="1" applyBorder="1" applyAlignment="1">
      <alignment horizontal="left" vertical="center"/>
    </xf>
    <xf numFmtId="179" fontId="21" fillId="0" borderId="1" xfId="8" applyNumberFormat="1" applyFont="1" applyFill="1" applyBorder="1" applyAlignment="1">
      <alignment horizontal="left" vertical="center"/>
    </xf>
    <xf numFmtId="179" fontId="3" fillId="0" borderId="1" xfId="0" applyNumberFormat="1" applyFont="1" applyBorder="1" applyAlignment="1">
      <alignment horizontal="left" vertical="center"/>
    </xf>
    <xf numFmtId="184" fontId="3" fillId="3" borderId="1" xfId="6" applyNumberFormat="1" applyFont="1" applyFill="1" applyBorder="1" applyAlignment="1">
      <alignment horizontal="left" vertical="center"/>
    </xf>
    <xf numFmtId="187" fontId="3" fillId="0" borderId="1" xfId="0" applyNumberFormat="1" applyFont="1" applyFill="1" applyBorder="1" applyAlignment="1">
      <alignment horizontal="left" vertical="center"/>
    </xf>
    <xf numFmtId="4" fontId="14" fillId="0" borderId="1" xfId="7" applyNumberFormat="1" applyFont="1" applyFill="1" applyBorder="1" applyAlignment="1">
      <alignment horizontal="left" vertical="center"/>
    </xf>
    <xf numFmtId="187" fontId="3" fillId="0" borderId="0" xfId="0" applyNumberFormat="1" applyFont="1" applyFill="1" applyAlignment="1">
      <alignment horizontal="center" vertical="center"/>
    </xf>
    <xf numFmtId="0" fontId="2" fillId="0" borderId="0" xfId="6" applyFont="1" applyFill="1" applyAlignment="1">
      <alignment horizontal="center" vertical="center"/>
    </xf>
    <xf numFmtId="184" fontId="2" fillId="3" borderId="1" xfId="6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181" fontId="2" fillId="0" borderId="1" xfId="6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81" fontId="14" fillId="0" borderId="1" xfId="6" applyNumberFormat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80" fontId="2" fillId="0" borderId="7" xfId="0" applyNumberFormat="1" applyFont="1" applyFill="1" applyBorder="1" applyAlignment="1">
      <alignment horizontal="left" vertical="center"/>
    </xf>
    <xf numFmtId="38" fontId="3" fillId="0" borderId="1" xfId="10" applyNumberFormat="1" applyFont="1" applyFill="1" applyBorder="1" applyAlignment="1">
      <alignment horizontal="center" vertical="center"/>
    </xf>
    <xf numFmtId="187" fontId="8" fillId="0" borderId="1" xfId="11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183" fontId="3" fillId="0" borderId="1" xfId="5" applyNumberFormat="1" applyFont="1" applyFill="1" applyBorder="1" applyAlignment="1">
      <alignment horizontal="left" vertical="center"/>
    </xf>
    <xf numFmtId="181" fontId="3" fillId="3" borderId="1" xfId="6" applyNumberFormat="1" applyFont="1" applyFill="1" applyBorder="1" applyAlignment="1">
      <alignment horizontal="left" vertical="center"/>
    </xf>
    <xf numFmtId="188" fontId="11" fillId="0" borderId="1" xfId="6" applyNumberFormat="1" applyFont="1" applyFill="1" applyBorder="1" applyAlignment="1">
      <alignment horizontal="left" vertical="center"/>
    </xf>
    <xf numFmtId="179" fontId="11" fillId="0" borderId="1" xfId="0" applyNumberFormat="1" applyFont="1" applyFill="1" applyBorder="1" applyAlignment="1">
      <alignment horizontal="left" vertical="center"/>
    </xf>
    <xf numFmtId="182" fontId="11" fillId="0" borderId="1" xfId="0" applyNumberFormat="1" applyFont="1" applyFill="1" applyBorder="1" applyAlignment="1">
      <alignment horizontal="left" vertical="center"/>
    </xf>
    <xf numFmtId="182" fontId="3" fillId="0" borderId="1" xfId="0" applyNumberFormat="1" applyFont="1" applyFill="1" applyBorder="1" applyAlignment="1">
      <alignment horizontal="left" vertical="center"/>
    </xf>
    <xf numFmtId="188" fontId="3" fillId="0" borderId="1" xfId="6" applyNumberFormat="1" applyFont="1" applyBorder="1" applyAlignment="1">
      <alignment horizontal="left" vertical="center"/>
    </xf>
    <xf numFmtId="179" fontId="2" fillId="0" borderId="1" xfId="12" applyNumberFormat="1" applyFont="1" applyFill="1" applyBorder="1" applyAlignment="1">
      <alignment horizontal="left" vertical="center"/>
    </xf>
    <xf numFmtId="38" fontId="3" fillId="0" borderId="1" xfId="10" applyNumberFormat="1" applyFont="1" applyFill="1" applyBorder="1" applyAlignment="1">
      <alignment horizontal="left" vertical="center"/>
    </xf>
    <xf numFmtId="0" fontId="2" fillId="0" borderId="1" xfId="6" applyFont="1" applyFill="1" applyBorder="1" applyAlignment="1">
      <alignment horizontal="center" vertical="center"/>
    </xf>
    <xf numFmtId="0" fontId="8" fillId="0" borderId="0" xfId="6" applyFont="1" applyFill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/>
    </xf>
    <xf numFmtId="9" fontId="2" fillId="0" borderId="0" xfId="2" applyFont="1" applyFill="1" applyBorder="1" applyAlignment="1" applyProtection="1">
      <alignment vertical="center"/>
    </xf>
    <xf numFmtId="9" fontId="3" fillId="0" borderId="0" xfId="2" applyFont="1" applyFill="1" applyAlignment="1"/>
    <xf numFmtId="181" fontId="3" fillId="2" borderId="1" xfId="6" quotePrefix="1" applyNumberFormat="1" applyFont="1" applyFill="1" applyBorder="1" applyAlignment="1">
      <alignment horizontal="left" vertical="center"/>
    </xf>
    <xf numFmtId="182" fontId="8" fillId="2" borderId="1" xfId="6" quotePrefix="1" applyNumberFormat="1" applyFont="1" applyFill="1" applyBorder="1" applyAlignment="1">
      <alignment horizontal="left" vertical="center"/>
    </xf>
    <xf numFmtId="0" fontId="2" fillId="0" borderId="1" xfId="0" quotePrefix="1" applyFont="1" applyFill="1" applyBorder="1" applyAlignment="1">
      <alignment horizontal="left" vertical="center"/>
    </xf>
    <xf numFmtId="0" fontId="15" fillId="0" borderId="3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left" vertical="center"/>
    </xf>
    <xf numFmtId="0" fontId="15" fillId="0" borderId="5" xfId="6" applyFont="1" applyFill="1" applyBorder="1" applyAlignment="1">
      <alignment horizontal="left" vertical="center"/>
    </xf>
  </cellXfs>
  <cellStyles count="18">
    <cellStyle name="Normal_MPS for MC9000-08182006.xls" xfId="9" xr:uid="{00000000-0005-0000-0000-000037000000}"/>
    <cellStyle name="百分比" xfId="2" builtinId="5"/>
    <cellStyle name="常规" xfId="0" builtinId="0"/>
    <cellStyle name="常规 2" xfId="8" xr:uid="{00000000-0005-0000-0000-000036000000}"/>
    <cellStyle name="常规 2 2 10 2" xfId="12" xr:uid="{00000000-0005-0000-0000-00003A000000}"/>
    <cellStyle name="常规 3 9" xfId="11" xr:uid="{00000000-0005-0000-0000-000039000000}"/>
    <cellStyle name="千位分隔" xfId="1" builtinId="3"/>
    <cellStyle name="千位分隔 2" xfId="13" xr:uid="{00000000-0005-0000-0000-00003B000000}"/>
    <cellStyle name="千位分隔 2 2 2" xfId="15" xr:uid="{00000000-0005-0000-0000-00003D000000}"/>
    <cellStyle name="千位分隔 2 5 2" xfId="14" xr:uid="{00000000-0005-0000-0000-00003C000000}"/>
    <cellStyle name="一般 3 2 11" xfId="5" xr:uid="{00000000-0005-0000-0000-000033000000}"/>
    <cellStyle name="一般 4 12" xfId="7" xr:uid="{00000000-0005-0000-0000-000035000000}"/>
    <cellStyle name="一般 6 2 2" xfId="6" xr:uid="{00000000-0005-0000-0000-000034000000}"/>
    <cellStyle name="一般_Cost summary_ASUS Sep2005" xfId="16" xr:uid="{00000000-0005-0000-0000-00003E000000}"/>
    <cellStyle name="一般_Sheet1 2" xfId="3" xr:uid="{00000000-0005-0000-0000-000031000000}"/>
    <cellStyle name="一般_Sheet1 2 2" xfId="10" xr:uid="{00000000-0005-0000-0000-000038000000}"/>
    <cellStyle name="一般_Targeting file for Feb. 2006 to Asus_IBM" xfId="4" xr:uid="{00000000-0005-0000-0000-000032000000}"/>
    <cellStyle name="一般_Targeting file for Feb. 2006 to Asus_IBM 2" xfId="17" xr:uid="{00000000-0005-0000-0000-00003F000000}"/>
  </cellStyles>
  <dxfs count="64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47"/>
      <tableStyleElement type="headerRow" dxfId="646"/>
      <tableStyleElement type="totalRow" dxfId="645"/>
      <tableStyleElement type="firstColumn" dxfId="644"/>
      <tableStyleElement type="lastColumn" dxfId="643"/>
      <tableStyleElement type="firstRowStripe" dxfId="642"/>
      <tableStyleElement type="firstColumnStripe" dxfId="641"/>
    </tableStyle>
    <tableStyle name="PivotStylePreset2_Accent1" table="0" count="10" xr9:uid="{267968C8-6FFD-4C36-ACC1-9EA1FD1885CA}">
      <tableStyleElement type="headerRow" dxfId="640"/>
      <tableStyleElement type="totalRow" dxfId="639"/>
      <tableStyleElement type="firstRowStripe" dxfId="638"/>
      <tableStyleElement type="firstColumnStripe" dxfId="637"/>
      <tableStyleElement type="firstSubtotalRow" dxfId="636"/>
      <tableStyleElement type="secondSubtotalRow" dxfId="635"/>
      <tableStyleElement type="firstRowSubheading" dxfId="634"/>
      <tableStyleElement type="secondRowSubheading" dxfId="633"/>
      <tableStyleElement type="pageFieldLabels" dxfId="632"/>
      <tableStyleElement type="pageFieldValues" dxfId="6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00019\AppData\Roaming\kingsoft\wps\XLSTART\AUG2\AUG%20FIN%20WK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My%20Documents\EXP\2002-07\EXP2002-06su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2001\AI%20Expense\M4\EXP2001-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nt008\Program\New%20Folder\Project%20Management\Project%20Dashboards\Dell%20Boxster\BOXSTER%20Planner%20Rev%20X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%20Management\Project%20Dashboards\Dell%20Boxster\BOXSTER%20Planner%20Rev%20X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09051\C\Documents%20and%20Settings\9717\Local%20Settings\Temporary%20Internet%20Files\Content.IE5\IR733SNS\WINDOWS\TEMP\9'99-&#29986;&#2054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Documents%20and%20Settings\Admin\Local%20Settings\Temporary%20Internet%20Files\OLK3C\Documents%20and%20Settings\admin\My%20Documents\2003JTL\2003PD4\KPI\200305PD4ex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WINDOWS\TEMPorary%20Internet%20Files\Content.IE5\0DMZ4HAN\PD8%20%20TEST&#19971;&#35506;5&#26376;&#20221;&#29986;&#20540;&#38928;&#2027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bds1\s-thomas\My%20Documents\UNITY\Unity%20Feb.%202002%20quotation\Unity%203.3%20Gerber%20Feb.%202002%20quotation-0123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C\Documents%20and%20Settings\Admin\Local%20Settings\Temporary%20Internet%20Files\OLK3C\Documents%20and%20Settings\admin\My%20Documents\2003JTL\2003PD4\KPI\200305PD4ex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C\WINDOWS\TEMPorary%20Internet%20Files\Content.IE5\0DMZ4HAN\PD8%20%20TEST&#19971;&#35506;5&#26376;&#20221;&#29986;&#20540;&#38928;&#2027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5105;&#30340;&#25991;&#20214;\&#20844;&#21496;&#25991;&#20214;\KS&#36681;&#31227;\PCBA\Usibds1\s-thomas\My%20Documents\UNITY\Unity%20Feb.%202002%20quotation\Unity%203.3%20Gerber%20Feb.%202002%20quotation-01232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C\Chris_li\project\Andy\Vm1\WIN\schedule\WWforecast\MPP_June01_Quant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09051\C\Documents%20and%20Settings\Administrator\Local%20Settings\Temporary%20Internet%20Files\Content.IE5\EBKZ012H\NDF%20TOP5%20921-92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s22\&#27604;&#20729;&#31243;&#24335;\2003%20Mar.Compare0304-ver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s22\&#26376;&#22577;&#34920;\MOB%20Apr%2010%20monthl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51%20v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C\My%20Documents\Sales\Sales%20Funnel\sales%20funnel%20W51%20v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NDOWS\Temporary%20Internet%20Files\Content.IE5\KP2ZCLQZ\9105&#24288;&#25151;&#27604;&#2957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Documents%20and%20Settings\shannlee\My%20Documents\FREMONT\CT2R\CT2R%20AMP-Solectron%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s22\&#27604;&#20729;&#31243;&#24335;\2002%20Sep.Compare09012-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\share\SiteData\GDL4\Publico\Planning&amp;Scheduling\Plan%20de%20Produccion%20Sanmina\DICIEMBRE%2006\Archivos%20de%20Verificaciones%20de%20planes%20de%20Dic%2006\NEW%20DIC%202006%20PRODUCTION%20PLAN%20ABS%20nuevo%20xsalida%20PUNCH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My%20Documents\NEWCUSTOMER\CISCO_SYSTEMS\CS_FCST\SLR_CISCO_FCST\MAY_2005\Forecast%20SCI-SAN%20MX-23-MAY-05_RESPONS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09051\C\My%20Documents\weekly\My%20Documents\capacity\WINDOWS\TEMP\9'99-&#29986;&#20540;&#3492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C\Documents%20and%20Settings\usi\Local%20Settings\Temporary%20Internet%20Files\Content.IE5\0123M5O7\RFQ\Bo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s22\&#22577;&#20729;&#21312;\03-Mar%20Quote\trooper%20Quo%20Mar%20-%20Feb.2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PRIVATE\SECTION\PROG\Common3\Cisco\Demand_Commit\MA\EDI%20From%20Corporate\Reschedule_PDC__51212_E83%20PENANG%201_11-6-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09051\C\WINDOWS\Temporary%20Internet%20Files\Content.IE5\OLALYP6L\trooper-requo-092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A\Fannyidg\IMS\Dell\Schedule\DELL-CQ4'9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06%20v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C\My%20Documents\Sales\Sales%20Funnel\sales%20funnel%20W06%20v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$\Report\MRM-%20Sam\March\2013%20MAR%20WK14%20MPBU%202013%20P&amp;L-V01-2013.04.08-Kelvic%20Chan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IVATE\SECTION\PROG\Common3\Cisco\Demand_Commit\MA\EDI%20From%20Corporate\Reschedule_PDC__51212_E83%20PENANG%201_11-6-20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C\Documents%20and%20Settings\Admin\Local%20Settings\Temporary%20Internet%20Files\OLK3C\FPY\2007\W04_FP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09051\C\Documents%20and%20Settings\Administrator\Local%20Settings\Temporary%20Internet%20Files\Content.IE5\0XM3WX6N\NDF%20TOP5%20906-91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C\Documents%20and%20Settings\HS\My%20Documents\6%20sigma_2005\&#19979;&#21322;&#24180;\&#24037;&#26178;&amp;FPY\PD3_09&#26376;&#29986;&#20540;&#34920;093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09051\C\WINDOWS\TEMP\9'99-&#29986;&#20540;&#34920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09051\C\WINDOWS\Temporary%20Internet%20Files\Content.IE5\ODERSHI7\wo%20over%20100%20days%20(2002-11-25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D\SHD2\RootC\DOCUME~1\MEUGE\LOCALS~1\Temp\Cost%20comparison%20sheet%20V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09051\C\Documents%20and%20Settings\4694\&#26700;&#38754;\Symbol%20FQC%20Defect%20ratio-Q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09051\C\Documents%20and%20Settings\admin\Local%20Settings\Temporary%20Internet%20Files\Content.IE5\RVE9VNFJ\GF%20project%200212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JM74/Documents/LEAN%20TRANSFORMATION%20TRAINING/NEW%20BELT%20CERTIFICATION/PROFESSIONAL%20YELLOW%20BELT/PROCESS%20FMEA/ED14664%20FMEA%20&amp;%20Control%20Plan%20Template%20Rev.%20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\&#25253;&#20215;\6.&#12304;&#26410;&#23436;&#25104;&#12305;\2.&#12304;&#37327;&#20135;&#12305;\&#12304;20250103&#12305;2025Q1\http:\compass.mot.com\Documents%20and%20Settings\shannlee\My%20Documents\FREMONT\CT2R\CT2R%20AMP-Solectron%2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\&#25253;&#20215;\6.&#12304;&#26410;&#23436;&#25104;&#12305;\2.&#12304;&#37327;&#20135;&#12305;\&#12304;20250103&#12305;2025Q1\http:\compass.mot.com\My%20Documents\NEWCUSTOMER\CISCO_SYSTEMS\CS_FCST\SLR_CISCO_FCST\MAY_2005\Forecast%20SCI-SAN%20MX-23-MAY-05_RESPONS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\&#25253;&#20215;\6.&#12304;&#26410;&#23436;&#25104;&#12305;\2.&#12304;&#37327;&#20135;&#12305;\&#12304;20250103&#12305;2025Q1\http:\compass.mot.com\PRIVATE\SECTION\PROG\Common3\Cisco\Demand_Commit\MA\EDI%20From%20Corporate\Reschedule_PDC__51212_E83%20PENANG%201_11-6-20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Documents%20and%20Settings\KS000022\Local%20Settings\Temporary%20Internet%20Files\Content.Outlook\39M0ZCUF\8866-960001-02%20%202014.3.24%20TEST&#39044;&#20272;&#24037;&#26102;%20-%20&#21103;&#264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"/>
      <sheetName val=" LBR X"/>
      <sheetName val="OT"/>
      <sheetName val="SVC"/>
      <sheetName val="CTC 0820"/>
      <sheetName val="AGING"/>
      <sheetName val="OTK"/>
      <sheetName val="Module1"/>
      <sheetName val="Module2"/>
      <sheetName val="Lists"/>
      <sheetName val="Assumptions"/>
      <sheetName val="MGTMACRO"/>
      <sheetName val="Menu Items"/>
      <sheetName val="Palm"/>
      <sheetName val="Cover"/>
      <sheetName val="CONSOBS"/>
      <sheetName val="CONSOPL"/>
      <sheetName val="Equipment List"/>
      <sheetName val="BUSSMANN INTERNATIONAL INC"/>
      <sheetName val="FA-LISTING"/>
      <sheetName val="Sheet2"/>
      <sheetName val="Engineering"/>
      <sheetName val="Losses"/>
      <sheetName val="Inputs from ASAP"/>
      <sheetName val="Setup"/>
      <sheetName val="setup2"/>
      <sheetName val="_LBR_X"/>
      <sheetName val="CTC_0820"/>
      <sheetName val="Menu_Items"/>
      <sheetName val="Equipment_List"/>
      <sheetName val="BUSSMANN_INTERNATIONAL_INC"/>
      <sheetName val="Inputs_from_ASAP"/>
      <sheetName val="Program Summary"/>
      <sheetName val="Site Overview"/>
      <sheetName val="RPT"/>
      <sheetName val="P&amp;L by prod"/>
      <sheetName val="Summary by Monthly"/>
      <sheetName val="Labor Input Data"/>
      <sheetName val="WaterFallsQ1'16 "/>
      <sheetName val="Data Validation "/>
      <sheetName val="E&amp;O"/>
      <sheetName val="System NPV"/>
      <sheetName val="Summary"/>
      <sheetName val="Painting"/>
      <sheetName val="RMA"/>
      <sheetName val="_LBR_X1"/>
      <sheetName val="CTC_08201"/>
      <sheetName val="_LBR_X2"/>
      <sheetName val="CTC_08202"/>
      <sheetName val="_LBR_X3"/>
      <sheetName val="CTC_08203"/>
      <sheetName val="_LBR_X4"/>
      <sheetName val="CTC_08204"/>
      <sheetName val="_LBR_X7"/>
      <sheetName val="CTC_08207"/>
      <sheetName val="_LBR_X5"/>
      <sheetName val="CTC_08205"/>
      <sheetName val="_LBR_X6"/>
      <sheetName val="CTC_08206"/>
      <sheetName val="_LBR_X8"/>
      <sheetName val="CTC_08208"/>
      <sheetName val="_LBR_X9"/>
      <sheetName val="CTC_08209"/>
      <sheetName val="_LBR_X10"/>
      <sheetName val="CTC_082010"/>
      <sheetName val="_LBR_X11"/>
      <sheetName val="CTC_082011"/>
      <sheetName val="_LBR_X12"/>
      <sheetName val="CTC_082012"/>
      <sheetName val="_LBR_X13"/>
      <sheetName val="CTC_082013"/>
      <sheetName val="_LBR_X14"/>
      <sheetName val="CTC_082014"/>
      <sheetName val="_LBR_X15"/>
      <sheetName val="CTC_082015"/>
      <sheetName val="AUG FIN WK3"/>
      <sheetName val="West turn by model"/>
      <sheetName val="PPV_rec"/>
      <sheetName val="ISRDATA"/>
      <sheetName val="List"/>
      <sheetName val="AC"/>
      <sheetName val="_LBR_X16"/>
      <sheetName val="CTC_082016"/>
      <sheetName val="_LBR_X17"/>
      <sheetName val="CTC_082017"/>
      <sheetName val="_LBR_X18"/>
      <sheetName val="CTC_082018"/>
      <sheetName val="_LBR_X20"/>
      <sheetName val="CTC_082020"/>
      <sheetName val="_LBR_X19"/>
      <sheetName val="CTC_082019"/>
      <sheetName val="_LBR_X21"/>
      <sheetName val="CTC_082021"/>
      <sheetName val="_LBR_X22"/>
      <sheetName val="CTC_082022"/>
      <sheetName val="_LBR_X23"/>
      <sheetName val="CTC_082023"/>
      <sheetName val="Workings"/>
      <sheetName val="superbom 2"/>
      <sheetName val="ROHS"/>
      <sheetName val="Calculation Summary"/>
      <sheetName val="Bud vs Act"/>
      <sheetName val="Calculation Remove saving"/>
      <sheetName val="Summary PnL(S)"/>
      <sheetName val="True up (@3%)"/>
      <sheetName val="PNL Results"/>
      <sheetName val="BHI_QARM Calculation"/>
      <sheetName val="Summary PnL(S) Yr2"/>
      <sheetName val="#REF"/>
      <sheetName val="Fcst SALES"/>
      <sheetName val="Cover sheet"/>
      <sheetName val="STDVGL"/>
      <sheetName val="Headcount"/>
      <sheetName val="_LBR_X24"/>
      <sheetName val="CTC_082024"/>
      <sheetName val="Menu_Items1"/>
      <sheetName val="Equipment_List1"/>
      <sheetName val="BUSSMANN_INTERNATIONAL_INC1"/>
      <sheetName val="Inputs_from_ASAP1"/>
      <sheetName val="Program_Summary"/>
      <sheetName val="Site_Overview"/>
      <sheetName val="P&amp;L_by_prod"/>
      <sheetName val="Summary_by_Monthly"/>
      <sheetName val="Labor_Input_Data"/>
      <sheetName val="WaterFallsQ1'16_"/>
      <sheetName val="Data_Validation_"/>
      <sheetName val="System_NPV"/>
      <sheetName val="AUG_FIN_WK3"/>
      <sheetName val="West_turn_by_model"/>
      <sheetName val="superbom_2"/>
      <sheetName val="Price List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費用分攤表"/>
      <sheetName val="SUM"/>
      <sheetName val="費用分攤表(ALL)"/>
      <sheetName val="MY00 REPORT"/>
      <sheetName val="ALL2002-07"/>
      <sheetName val="MLTX2002-07"/>
      <sheetName val="M1SM2002-07"/>
      <sheetName val="費用分攤表-M1SM -July"/>
      <sheetName val="費用分攤表-MS00"/>
      <sheetName val="Sheet1"/>
      <sheetName val="費用分攤表-MS00-data"/>
      <sheetName val="summary"/>
      <sheetName val="DS "/>
      <sheetName val="NW "/>
      <sheetName val="IA1"/>
      <sheetName val="IA2"/>
      <sheetName val="MS"/>
      <sheetName val="CSD"/>
      <sheetName val="M1Y0"/>
      <sheetName val="MU00"/>
      <sheetName val="OTHER"/>
      <sheetName val="ExportData"/>
      <sheetName val="codes"/>
      <sheetName val="Arch II"/>
      <sheetName val="MZC600"/>
      <sheetName val="HDDM"/>
      <sheetName val="Tuscany"/>
      <sheetName val="BY MONTH"/>
      <sheetName val="RUB"/>
      <sheetName val="0103 to 0109"/>
      <sheetName val="0110 to 0116"/>
      <sheetName val="0117 to 0123"/>
      <sheetName val="0124 to 0130"/>
      <sheetName val="0131"/>
      <sheetName val="total"/>
      <sheetName val="Trendsum_CoPQY2010 BU"/>
      <sheetName val="Y2009 BU Level Jul "/>
      <sheetName val="Raw Data"/>
      <sheetName val="YTD_CoPQY2009 BU"/>
      <sheetName val="NB"/>
      <sheetName val="Extra Cost Data"/>
      <sheetName val="Cover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2F IPQC issue Chart  "/>
      <sheetName val="pcbo 工時"/>
      <sheetName val="충전기"/>
      <sheetName val="BaseData"/>
      <sheetName val="Stock"/>
      <sheetName val="BB Table"/>
      <sheetName val="plan"/>
      <sheetName val="small card 基本資料0216_04"/>
      <sheetName val="ref"/>
      <sheetName val="DATA"/>
      <sheetName val="pd_SSS"/>
      <sheetName val="Weekly Cases Opened"/>
      <sheetName val="ISRDATA"/>
      <sheetName val="IQC Inspection Data"/>
      <sheetName val="工作表2"/>
      <sheetName val="MY00_REPORT"/>
      <sheetName val="費用分攤表-M1SM_-July"/>
      <sheetName val="DS_"/>
      <sheetName val="NW_"/>
      <sheetName val="Trendsum_CoPQY2010_BU"/>
      <sheetName val="Y2009_BU_Level_Jul_"/>
      <sheetName val="YTD_CoPQY2009_BU"/>
      <sheetName val="Raw_Data"/>
      <sheetName val="0103_to_0109"/>
      <sheetName val="0110_to_0116"/>
      <sheetName val="0117_to_0123"/>
      <sheetName val="0124_to_0130"/>
      <sheetName val="Extra_Cost_Data"/>
      <sheetName val="Weekly_Manpower"/>
      <sheetName val="2F_IPQC_issue_Chart__"/>
      <sheetName val="pcbo_工時"/>
      <sheetName val="BB_Table"/>
      <sheetName val="small_card_基本資料0216_04"/>
      <sheetName val="Arch_II"/>
      <sheetName val="會計科目"/>
      <sheetName val="工作表3"/>
      <sheetName val="各部主管及DRI"/>
      <sheetName val="工作表1"/>
      <sheetName val="MT-X01"/>
      <sheetName val="Hourly Rate"/>
      <sheetName val="Weekly_Cases_Opened"/>
      <sheetName val="IQC_Inspection_Data"/>
      <sheetName val="BY_MONTH"/>
      <sheetName val="Reschedule-Reconfirm"/>
      <sheetName val="ArchII"/>
      <sheetName val="Detail"/>
      <sheetName val="Vise"/>
      <sheetName val="Xbox"/>
      <sheetName val="OT"/>
      <sheetName val="Issues List"/>
      <sheetName val="Metal_list"/>
      <sheetName val="LIST"/>
      <sheetName val="reason"/>
      <sheetName val="Action Summary "/>
      <sheetName val="customer"/>
      <sheetName val="Action"/>
      <sheetName val="工作表5"/>
      <sheetName val="cu"/>
      <sheetName val="Action "/>
      <sheetName val="wsp 12-03"/>
      <sheetName val="2FDAY"/>
      <sheetName val="Settings"/>
      <sheetName val="Candidate"/>
      <sheetName val="Master Lists"/>
      <sheetName val="Reference Table"/>
      <sheetName val="下拉清單"/>
      <sheetName val="MY00_REPORT1"/>
      <sheetName val="費用分攤表-M1SM_-July1"/>
      <sheetName val="DS_1"/>
      <sheetName val="NW_1"/>
      <sheetName val="0103_to_01091"/>
      <sheetName val="0110_to_01161"/>
      <sheetName val="0117_to_01231"/>
      <sheetName val="0124_to_01301"/>
      <sheetName val="Trendsum_CoPQY2010_BU1"/>
      <sheetName val="Y2009_BU_Level_Jul_1"/>
      <sheetName val="Raw_Data1"/>
      <sheetName val="YTD_CoPQY2009_BU1"/>
      <sheetName val="Weekly_Manpower1"/>
      <sheetName val="Extra_Cost_Data1"/>
      <sheetName val="2F_IPQC_issue_Chart__1"/>
      <sheetName val="pcbo_工時1"/>
      <sheetName val="BB_Table1"/>
      <sheetName val="small_card_基本資料0216_041"/>
      <sheetName val="Arch_II1"/>
      <sheetName val="GSO's File"/>
      <sheetName val="Dean's File"/>
      <sheetName val="overlap waterfall barbados_lf"/>
      <sheetName val="作業分配表"/>
      <sheetName val="Mat Summary"/>
      <sheetName val="Blf2+LOM cost bom_080902"/>
      <sheetName val="FA-LISTING"/>
      <sheetName val="Sheet1 (2)"/>
      <sheetName val="&quot;B&quot; Quote Model"/>
      <sheetName val="All-In-One"/>
      <sheetName val="MetricsData"/>
      <sheetName val="掌控表"/>
      <sheetName val="Overhead calculations"/>
      <sheetName val="掌控"/>
      <sheetName val="Proto 1"/>
      <sheetName val="Team List"/>
      <sheetName val="Neo"/>
      <sheetName val="Information"/>
      <sheetName val="MFG MVA Assumption"/>
      <sheetName val="Basic Assumption"/>
      <sheetName val="Material List"/>
      <sheetName val="MPS Q3 FY05"/>
      <sheetName val="Forwarder_Plan"/>
      <sheetName val="Master List"/>
      <sheetName val="check List"/>
      <sheetName val="Sheet3"/>
      <sheetName val="Menus"/>
      <sheetName val="Test Data-Thermals-TTV"/>
      <sheetName val="wi modem及scan"/>
      <sheetName val="FA"/>
      <sheetName val="EXP2002-06sum"/>
      <sheetName val="G24-10 比較"/>
      <sheetName val="期初B"/>
      <sheetName val="Weekly Shift Plan"/>
      <sheetName val="XBOX360"/>
      <sheetName val="CUM CONSTRAINED AVAIL"/>
      <sheetName val="Cable"/>
      <sheetName val="MX"/>
      <sheetName val="Spending by COA"/>
      <sheetName val="中间表"/>
      <sheetName val="Sheet2"/>
      <sheetName val="PARTS"/>
      <sheetName val="Hidden"/>
      <sheetName val="Q_BF3 FBOM-update011504 (2)"/>
      <sheetName val="BF3_Jan_Cost"/>
      <sheetName val="0518"/>
      <sheetName val="2003 prod2"/>
      <sheetName val="2003 Target"/>
      <sheetName val="Category"/>
      <sheetName val="Workings"/>
      <sheetName val="choose list"/>
      <sheetName val="Budget"/>
      <sheetName val="移动通讯费计划表"/>
      <sheetName val="Data(FY2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  <sheetName val="DS "/>
      <sheetName val="NW "/>
      <sheetName val="IA1"/>
      <sheetName val="IA2"/>
      <sheetName val="DVD"/>
      <sheetName val="PTB"/>
      <sheetName val="CSD"/>
      <sheetName val="M700"/>
      <sheetName val="OTHER"/>
      <sheetName val="Hourly Rate"/>
      <sheetName val="ExportData"/>
      <sheetName val="FRU Cost"/>
      <sheetName val="EC Charge"/>
      <sheetName val="Others"/>
      <sheetName val="Pilot Run"/>
      <sheetName val="Rework"/>
      <sheetName val="MACRO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Detail"/>
      <sheetName val="Weekly Shift Plan"/>
      <sheetName val="XBOX360"/>
      <sheetName val="BaseData"/>
      <sheetName val="Sheet2"/>
      <sheetName val="Sheet3"/>
      <sheetName val="Trendsum_CoPQY2010 BU"/>
      <sheetName val="Stock"/>
      <sheetName val="FAE reports"/>
      <sheetName val="Budget unit"/>
      <sheetName val="2FDAY"/>
      <sheetName val="IS-YTD"/>
      <sheetName val="EXP2001-04"/>
      <sheetName val="BS"/>
      <sheetName val="OBU"/>
      <sheetName val="temp"/>
      <sheetName val="Setup"/>
      <sheetName val="Information"/>
      <sheetName val="Reference"/>
      <sheetName val="期初B"/>
      <sheetName val="1. Inputs"/>
      <sheetName val="STD"/>
      <sheetName val="DataBased"/>
      <sheetName val="DS_"/>
      <sheetName val="NW_"/>
      <sheetName val="Hourly_Rate"/>
      <sheetName val="Trendsum_CoPQY2010_BU"/>
      <sheetName val="Weekly_Shift_Plan"/>
      <sheetName val="FAE_reports"/>
      <sheetName val="Budget_unit"/>
      <sheetName val="FRU_Cost"/>
      <sheetName val="EC_Charge"/>
      <sheetName val="Pilot_Run"/>
      <sheetName val="Weekly_Manpower"/>
      <sheetName val="small card 基本資料0216_04"/>
      <sheetName val="Issues List"/>
      <sheetName val="Assumption"/>
      <sheetName val="Data"/>
      <sheetName val="Base Data"/>
      <sheetName val="Reason"/>
      <sheetName val="Action"/>
      <sheetName val="customer"/>
      <sheetName val="Ref Data"/>
      <sheetName val="ISRDATA"/>
      <sheetName val="1__Inputs"/>
      <sheetName val="Settings"/>
      <sheetName val="Reschedule-Reconfirm"/>
      <sheetName val="Engineering Resources"/>
      <sheetName val="Sample"/>
      <sheetName val="SW Test"/>
      <sheetName val="EMC pre-test"/>
      <sheetName val="RF_Performance_LTE FCC_NA(WAN)"/>
      <sheetName val="RF Perfom WCDMA LTE CE_EU(WAN)"/>
      <sheetName val="RFI_NA_Reduced"/>
      <sheetName val="RFI_EU_Reduced"/>
      <sheetName val="RFI_WLAN_Reduced"/>
      <sheetName val="Antenna Pre-Test_Worldwide-WAN2"/>
      <sheetName val="AntennaPre-Test_Worldwide-WLAN2"/>
      <sheetName val="RF Pre-Test_NA_RFV (WAN)24 "/>
      <sheetName val="RF Pre-Test_EU_RFV (WAN)24"/>
      <sheetName val="RF_Pre-test_Wifi Only24"/>
      <sheetName val="QTP"/>
      <sheetName val="IEEE 1725 (WAN)"/>
      <sheetName val="EMC regulatory_NA (WAN)"/>
      <sheetName val="EMC regulatory_EU (WAN)"/>
      <sheetName val="Thunder Backward"/>
      <sheetName val="Thunder Backward(Falcon ACC)"/>
      <sheetName val="EMC regulatory_WLAN only"/>
      <sheetName val="Safety"/>
      <sheetName val="RF Regulatory_Tier1(WAN)"/>
      <sheetName val="RF Regulatory_Tier2 (WAN)"/>
      <sheetName val="RF Official regulatoryWLAN Tie1"/>
      <sheetName val="RF Official regulatoryWLAN Tie2"/>
      <sheetName val="Cetification _Fee_WWAN"/>
      <sheetName val="Cetification _Fee_WLAN"/>
      <sheetName val="PTCRB_GCF Pre Test (WAN)"/>
      <sheetName val="PTCRB_GCF (WAN)"/>
      <sheetName val="Carrier PreTest (WAN)"/>
      <sheetName val="Carrier Official Test (WAN)"/>
      <sheetName val="Tooling"/>
      <sheetName val="Fixtures"/>
      <sheetName val="CTO PO"/>
      <sheetName val="DS_1"/>
      <sheetName val="NW_1"/>
      <sheetName val="Hourly_Rate1"/>
      <sheetName val="Weekly_Shift_Plan1"/>
      <sheetName val="Trendsum_CoPQY2010_BU1"/>
      <sheetName val="FAE_reports1"/>
      <sheetName val="Budget_unit1"/>
      <sheetName val="FRU_Cost1"/>
      <sheetName val="EC_Charge1"/>
      <sheetName val="Pilot_Run1"/>
      <sheetName val="Weekly_Manpower1"/>
      <sheetName val="Base_Data"/>
      <sheetName val="Ref_Data"/>
      <sheetName val="small_card_基本資料0216_04"/>
      <sheetName val="Cover"/>
      <sheetName val="Version Control"/>
      <sheetName val="非機種"/>
      <sheetName val="All Parts"/>
      <sheetName val="Cyce 3 Descriptions"/>
      <sheetName val="Call Down Data OLD"/>
      <sheetName val="List"/>
      <sheetName val="PCSM"/>
      <sheetName val="Intel Lan + AD1885 EBOM"/>
      <sheetName val="Deliverables"/>
      <sheetName val="Project Details"/>
      <sheetName val="Rates"/>
      <sheetName val="P&amp;L"/>
      <sheetName val="PartsList"/>
      <sheetName val="Management Review"/>
      <sheetName val="Product Data Entry"/>
      <sheetName val="All"/>
      <sheetName val="Bom(P1)"/>
      <sheetName val="wsp 01-07"/>
      <sheetName val="FA"/>
      <sheetName val="fa-listing"/>
      <sheetName val="greer"/>
      <sheetName val="GPIO raw"/>
      <sheetName val="IO Summary"/>
      <sheetName val="Process Scaling"/>
      <sheetName val="IPXPTL"/>
      <sheetName val="summary_4.5%MOH"/>
      <sheetName val="Master Lists"/>
      <sheetName val="D45D46"/>
      <sheetName val="scm av data"/>
      <sheetName val="Candidate"/>
      <sheetName val="plan"/>
      <sheetName val="INV"/>
      <sheetName val="SFC"/>
      <sheetName val="SHIP"/>
      <sheetName val="SO"/>
      <sheetName val="WFA"/>
      <sheetName val="DropDownLists"/>
      <sheetName val="DS_2"/>
      <sheetName val="NW_2"/>
      <sheetName val="Hourly_Rate2"/>
      <sheetName val="FRU_Cost2"/>
      <sheetName val="EC_Charge2"/>
      <sheetName val="Pilot_Run2"/>
      <sheetName val="Weekly_Manpower2"/>
      <sheetName val="Weekly_Shift_Plan2"/>
      <sheetName val="Trendsum_CoPQY2010_BU2"/>
      <sheetName val="FAE_reports2"/>
      <sheetName val="Budget_unit2"/>
      <sheetName val="1__Inputs1"/>
      <sheetName val="small_card_基本資料0216_041"/>
      <sheetName val="Base_Data1"/>
      <sheetName val="Ref_Data1"/>
      <sheetName val="Issues_List"/>
      <sheetName val="GPIO_raw"/>
      <sheetName val="IO_Summary"/>
      <sheetName val="Process_Scaling"/>
      <sheetName val="summary_4_5%MOH"/>
      <sheetName val="Master_Lists"/>
      <sheetName val="Engineering_Resources"/>
      <sheetName val="SW_Test"/>
      <sheetName val="EMC_pre-test"/>
      <sheetName val="RF_Performance_LTE_FCC_NA(WAN)"/>
      <sheetName val="RF_Perfom_WCDMA_LTE_CE_EU(WAN)"/>
      <sheetName val="Antenna_Pre-Test_Worldwide-WAN2"/>
      <sheetName val="RF_Pre-Test_NA_RFV_(WAN)24_"/>
      <sheetName val="RF_Pre-Test_EU_RFV_(WAN)24"/>
      <sheetName val="RF_Pre-test_Wifi_Only24"/>
      <sheetName val="IEEE_1725_(WAN)"/>
      <sheetName val="EMC_regulatory_NA_(WAN)"/>
      <sheetName val="EMC_regulatory_EU_(WAN)"/>
      <sheetName val="Thunder_Backward"/>
      <sheetName val="Thunder_Backward(Falcon_ACC)"/>
      <sheetName val="EMC_regulatory_WLAN_only"/>
      <sheetName val="RF_Regulatory_Tier1(WAN)"/>
      <sheetName val="RF_Regulatory_Tier2_(WAN)"/>
      <sheetName val="RF_Official_regulatoryWLAN_Tie1"/>
      <sheetName val="RF_Official_regulatoryWLAN_Tie2"/>
      <sheetName val="Cetification__Fee_WWAN"/>
      <sheetName val="Cetification__Fee_WLAN"/>
      <sheetName val="PTCRB_GCF_Pre_Test_(WAN)"/>
      <sheetName val="PTCRB_GCF_(WAN)"/>
      <sheetName val="Carrier_PreTest_(WAN)"/>
      <sheetName val="Carrier_Official_Test_(WAN)"/>
      <sheetName val="CTO_PO"/>
      <sheetName val="Version_Control"/>
      <sheetName val="All_Parts"/>
      <sheetName val="Cyce_3_Descriptions"/>
      <sheetName val="Call_Down_Data_OLD"/>
      <sheetName val="Intel_Lan_+_AD1885_EBOM"/>
      <sheetName val="Project_Details"/>
      <sheetName val="Management_Review"/>
      <sheetName val="Product_Data_Entry"/>
      <sheetName val="wsp_01-07"/>
      <sheetName val="Detail Schedule"/>
      <sheetName val="OverTime Rule"/>
      <sheetName val="IE"/>
      <sheetName val="Custom_Cost"/>
      <sheetName val="A-Note Bug list"/>
      <sheetName val="Input data"/>
      <sheetName val="Better"/>
      <sheetName val="F"/>
      <sheetName val="HK"/>
      <sheetName val="Best"/>
      <sheetName val="AIR (Inbound material)"/>
      <sheetName val="Build Instructions"/>
      <sheetName val="sm Pcost"/>
      <sheetName val="Raw Data"/>
      <sheetName val="choose list"/>
      <sheetName val="MX"/>
      <sheetName val="Spending by COA"/>
      <sheetName val="中间表"/>
      <sheetName val="Exec Summary"/>
      <sheetName val="制费-分月"/>
      <sheetName val="销量"/>
      <sheetName val="ref"/>
      <sheetName val="overlap waterfall barbados_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Receiving Inspection"/>
      <sheetName val="Data lists"/>
      <sheetName val="대외공문"/>
      <sheetName val="P&amp;L wCorpAlloc"/>
      <sheetName val="All"/>
      <sheetName val="ISRDATA"/>
      <sheetName val="Definition"/>
      <sheetName val="A  產業車輛故障項目核對結果"/>
      <sheetName val="L2-車輛詳細資料 "/>
      <sheetName val="FA_LISTING"/>
      <sheetName val="LIST"/>
      <sheetName val="0414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Summarized P&amp;L"/>
      <sheetName val="#REF!"/>
      <sheetName val="QuoteSummary"/>
      <sheetName val="General Instructions"/>
      <sheetName val="Master List"/>
      <sheetName val="BOXSTER Planner Rev X1"/>
      <sheetName val="FA-LISTING"/>
      <sheetName val="Price Summary"/>
      <sheetName val="Cost Breakdown"/>
      <sheetName val="Assessments"/>
      <sheetName val="Sheet3"/>
      <sheetName val="DBL LPG시험"/>
      <sheetName val="Rates"/>
      <sheetName val="Price Model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Sheet2"/>
      <sheetName val="Palm"/>
      <sheetName val="P&amp;L"/>
      <sheetName val="FA"/>
      <sheetName val="code"/>
      <sheetName val="Blf2+LOM cost bom_080902"/>
      <sheetName val="Master Lists"/>
      <sheetName val="Receiving_Inspection"/>
      <sheetName val="P&amp;L_wCorpAlloc"/>
      <sheetName val="Summarized_P&amp;L"/>
      <sheetName val="General_Instructions"/>
      <sheetName val="Master_List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Valores"/>
      <sheetName val="IP-1 INSP-CAV #2"/>
      <sheetName val="Nimitz Base Cover"/>
      <sheetName val="Root causes"/>
      <sheetName val="Call Down Data OLD"/>
      <sheetName val="I Input Template"/>
      <sheetName val="Supplier Base Inpu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SBB Table"/>
      <sheetName val="All Parts"/>
      <sheetName val="Carlin-G costbom"/>
      <sheetName val="All_Parts"/>
      <sheetName val="Carlin-G_costbom"/>
      <sheetName val="Pivot"/>
      <sheetName val="Nov"/>
      <sheetName val="#REF"/>
      <sheetName val="4048"/>
      <sheetName val="Assy"/>
      <sheetName val="129 COA"/>
      <sheetName val="MOH-April"/>
      <sheetName val="New Workings"/>
      <sheetName val="P&amp;LOEM &amp; FG"/>
      <sheetName val="差异分攤"/>
      <sheetName val=" Quotation sheet"/>
      <sheetName val="Entry"/>
      <sheetName val="Shot"/>
      <sheetName val="Summary Design-Proto"/>
      <sheetName val="Setting"/>
      <sheetName val="1"/>
      <sheetName val="AllPts-541-0832-02"/>
      <sheetName val="B.O.M."/>
      <sheetName val="C۽"/>
      <sheetName val="Q#3839 Indented Bom d"/>
      <sheetName val="Cost_Breakdown"/>
      <sheetName val="FCT repair data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LP1 Shipment"/>
      <sheetName val="半成品"/>
      <sheetName val="靶材分配比例"/>
      <sheetName val="Data_Init"/>
      <sheetName val="Data_HR"/>
      <sheetName val="HDCTEXP "/>
      <sheetName val="Control"/>
      <sheetName val="SPM Units"/>
      <sheetName val="N-3"/>
      <sheetName val="VAM Report Input"/>
      <sheetName val="Version Control"/>
      <sheetName val=""/>
      <sheetName val="129_COA"/>
      <sheetName val="Fcst SALES"/>
      <sheetName val="Cover sheet"/>
      <sheetName val="STDVGL"/>
      <sheetName val="Headcount"/>
      <sheetName val="FLX Consolflxidated"/>
      <sheetName val="X"/>
      <sheetName val="CoverPage"/>
      <sheetName val="Demand_051704"/>
      <sheetName val="Commit by Qtr"/>
      <sheetName val="Ramp-up Prod KLf pro Woche "/>
      <sheetName val="Data Validation"/>
      <sheetName val="Tester Quote"/>
      <sheetName val="Lists"/>
      <sheetName val="Market Module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Palm Q402 Price File"/>
      <sheetName val="Palm Targets"/>
      <sheetName val="Panel list"/>
      <sheetName val="Lookup Tables"/>
      <sheetName val="eBOM"/>
      <sheetName val="reference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x005f_x0000_tents"/>
      <sheetName val="LSS"/>
      <sheetName val="IDX"/>
      <sheetName val="期初B"/>
      <sheetName val="Material List"/>
      <sheetName val="MFG1"/>
      <sheetName val="GRACE"/>
      <sheetName val="model"/>
      <sheetName val="Commodity"/>
      <sheetName val="Information"/>
      <sheetName val="BF3_FBOM"/>
      <sheetName val="2E998"/>
      <sheetName val="part_costs"/>
      <sheetName val="Parameter"/>
      <sheetName val="BaseData"/>
      <sheetName val="SupplierBaseInput"/>
      <sheetName val="Labor Rate Detail-Arthur"/>
      <sheetName val="OS_Country_Kit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SCM AV data"/>
      <sheetName val="C۽tents"/>
      <sheetName val="IA1"/>
      <sheetName val="非機種"/>
      <sheetName val="P19S"/>
      <sheetName val="DW RFID1202"/>
      <sheetName val="FA Definitions"/>
      <sheetName val="塑膠費率(最新)"/>
      <sheetName val="Kod3 Table"/>
      <sheetName val="Matl1"/>
      <sheetName val="Slim Merlot Block Diagram"/>
      <sheetName val="Asus_BOM"/>
      <sheetName val="Mat Summary"/>
      <sheetName val="ref"/>
      <sheetName val="choose list"/>
      <sheetName val="Exchange_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All"/>
      <sheetName val="FA-LISTING"/>
      <sheetName val="Data lists"/>
      <sheetName val="Receiving Inspection"/>
      <sheetName val="1492分攤"/>
      <sheetName val="Valores"/>
      <sheetName val="Macro1"/>
      <sheetName val="ISRDATA"/>
      <sheetName val="IP-1 INSP-CAV #2"/>
      <sheetName val="Nimitz Base Cover"/>
      <sheetName val="差异分攤"/>
      <sheetName val="Root causes"/>
      <sheetName val="Call Down Data OLD"/>
      <sheetName val="I Input Template"/>
      <sheetName val="Saturn MVB bom_Aug.18'08"/>
      <sheetName val="Supplier Base Input"/>
      <sheetName val="Price Summary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Data_lists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heet2"/>
      <sheetName val=" Quotation sheet"/>
      <sheetName val="SBB Table"/>
      <sheetName val="#REF"/>
      <sheetName val="Summary Design-Proto"/>
      <sheetName val="FB Tooling List 1210"/>
      <sheetName val="Sheet4"/>
      <sheetName val="DELL_Schedule"/>
      <sheetName val="2003 Target"/>
      <sheetName val="2003 prod2"/>
      <sheetName val="Hourly Rate"/>
      <sheetName val="Setting"/>
      <sheetName val="Pivot"/>
      <sheetName val="Data_Init"/>
      <sheetName val="Data_HR"/>
      <sheetName val="Entry"/>
      <sheetName val="Shot"/>
      <sheetName val="PL-All"/>
      <sheetName val="Workings"/>
      <sheetName val="Macaron Tooling"/>
      <sheetName val="주행"/>
      <sheetName val="RickelsRFQPWA# 2"/>
      <sheetName val="MB Costed Bom PV"/>
      <sheetName val="生產計劃"/>
      <sheetName val="BOXSTER Planner Rev X1"/>
      <sheetName val="ship kit"/>
      <sheetName val="Guava Bulk"/>
      <sheetName val="Risk Codes"/>
      <sheetName val="Demand_051704"/>
      <sheetName val="4048"/>
      <sheetName val="Assy"/>
      <sheetName val="129 COA"/>
      <sheetName val="129_COA"/>
      <sheetName val="FLX Consolflxidated"/>
      <sheetName val="X"/>
      <sheetName val="Fcst SALES"/>
      <sheetName val="Cover sheet"/>
      <sheetName val="STDVGL"/>
      <sheetName val="Headcount"/>
      <sheetName val="All Parts"/>
      <sheetName val="P&amp;L wCorpAlloc"/>
      <sheetName val="Carlin-G costbom"/>
      <sheetName val="All_Parts"/>
      <sheetName val="P&amp;L_wCorpAlloc"/>
      <sheetName val="Carlin-G_costbom"/>
      <sheetName val="DBL LPG시험"/>
      <sheetName val="Rates"/>
      <sheetName val="Price Model"/>
      <sheetName val="DBL_LPG시험"/>
      <sheetName val="Price_Model"/>
      <sheetName val="Palm"/>
      <sheetName val="P&amp;L"/>
      <sheetName val="대외공문"/>
      <sheetName val="0414data"/>
      <sheetName val="#REF!"/>
      <sheetName val="Summarized P&amp;L"/>
      <sheetName val="LIST"/>
      <sheetName val="QuoteSummary"/>
      <sheetName val="General Instructions"/>
      <sheetName val="Definition"/>
      <sheetName val="Master List"/>
      <sheetName val="FA_LISTING"/>
      <sheetName val="Master Lists"/>
      <sheetName val="Cost Breakdown"/>
      <sheetName val="Summarized_P&amp;L"/>
      <sheetName val="General_Instructions"/>
      <sheetName val="Master_List"/>
      <sheetName val="Nov"/>
      <sheetName val="Q#3839 Indented Bom d"/>
      <sheetName val="MOH-April"/>
      <sheetName val="VAM Report Input"/>
      <sheetName val="code"/>
      <sheetName val="FCT repair data"/>
      <sheetName val="FA"/>
      <sheetName val="A  產業車輛故障項目核對結果"/>
      <sheetName val="L2-車輛詳細資料 "/>
      <sheetName val="0518"/>
      <sheetName val="C۽"/>
      <sheetName val="New Workings"/>
      <sheetName val="P&amp;LOEM &amp; FG"/>
      <sheetName val="1"/>
      <sheetName val="AllPts-541-0832-02"/>
      <sheetName val="B.O.M.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LP1 Shipment"/>
      <sheetName val="半成品"/>
      <sheetName val="靶材分配比例"/>
      <sheetName val="N-3"/>
      <sheetName val="Version Control"/>
      <sheetName val=""/>
      <sheetName val="040W資料庫"/>
      <sheetName val="076W資料庫"/>
      <sheetName val="Data Input "/>
      <sheetName val="Ramp-up Prod KLf pro Woche "/>
      <sheetName val="Tester Quote"/>
      <sheetName val="Palm Q402 Price File"/>
      <sheetName val="Palm Targets"/>
      <sheetName val="Panel list"/>
      <sheetName val="C۽_x005f_x0000_tents"/>
      <sheetName val="CoverPage"/>
      <sheetName val="Commit by Qtr"/>
      <sheetName val="reference"/>
      <sheetName val="Quote Data"/>
      <sheetName val="Lookup Tables"/>
      <sheetName val="Assessments"/>
      <sheetName val="Sheet3"/>
      <sheetName val="Lists"/>
      <sheetName val="Blf2+LOM cost bom_080902"/>
      <sheetName val="Market Module"/>
      <sheetName val="Data Validation"/>
      <sheetName val="part_costs"/>
      <sheetName val="LINE A"/>
      <sheetName val="LINE K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期初B"/>
      <sheetName val="LAPL Act Trend"/>
      <sheetName val="BF3 MB cost _0708 from MSL"/>
      <sheetName val="WW Comet"/>
      <sheetName val="Keyb."/>
      <sheetName val="Common"/>
      <sheetName val="10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IDX"/>
      <sheetName val="major"/>
      <sheetName val="MFG1"/>
      <sheetName val="GRACE"/>
      <sheetName val="Material List"/>
      <sheetName val="ｴﾚｷ"/>
      <sheetName val="2015 MoM"/>
      <sheetName val="Sandler EK FBOM_A00"/>
      <sheetName val="C۽tents"/>
      <sheetName val="choose list"/>
      <sheetName val="Reschedule-Reconfirm"/>
      <sheetName val="Main_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O-A"/>
      <sheetName val="MPS"/>
      <sheetName val="O_A"/>
      <sheetName val="离职统计"/>
      <sheetName val="员人认证比率"/>
      <sheetName val="Sheet2"/>
      <sheetName val="TW"/>
      <sheetName val="550501-消耗品"/>
      <sheetName val="Trooper P&amp;Q Matrix"/>
      <sheetName val="ref"/>
      <sheetName val="Attributes"/>
      <sheetName val="FE FA"/>
      <sheetName val="FA-LISTING"/>
      <sheetName val="Xrate"/>
      <sheetName val="每週ASM效率查詢"/>
      <sheetName val="WO list"/>
      <sheetName val="MP FPY Trend Chart"/>
      <sheetName val="PD2"/>
      <sheetName val="Scrap Total"/>
      <sheetName val="comp"/>
      <sheetName val="choose list"/>
      <sheetName val="no close order"/>
      <sheetName val="週除外名細"/>
      <sheetName val="單位"/>
      <sheetName val="單位人員"/>
      <sheetName val="Apollo_NDF TOP5"/>
      <sheetName val="0843-002660-00"/>
      <sheetName val="0843-002970-00"/>
      <sheetName val="ZF284"/>
      <sheetName val="SMT Productivity"/>
      <sheetName val="Engineering NRE"/>
      <sheetName val="Service Raw Dat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spending analysis-April"/>
      <sheetName val="till May費用明細"/>
      <sheetName val="Jan~May"/>
      <sheetName val="PD4工時分攤"/>
      <sheetName val="效率表"/>
      <sheetName val="550501-消耗品"/>
      <sheetName val="550901-文具費"/>
      <sheetName val="551301修繕費"/>
      <sheetName val="551101運費"/>
      <sheetName val="552801雜項請購"/>
      <sheetName val="551201郵電費"/>
      <sheetName val="551002"/>
      <sheetName val="552301治具費"/>
      <sheetName val="552809雜項請購"/>
      <sheetName val="552701軟體費"/>
      <sheetName val="550601材料費"/>
      <sheetName val="550501_消耗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月預估達成值"/>
      <sheetName val="5月產值"/>
      <sheetName val="WO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-2660"/>
      <sheetName val="Cover"/>
      <sheetName val="(ODM)Quotation "/>
      <sheetName val="(ODM)Quotation  (2)"/>
      <sheetName val="Cost adjustment"/>
      <sheetName val="0843-002970-00"/>
      <sheetName val="0843-002660-00"/>
      <sheetName val="Analysis-2970"/>
      <sheetName val="0843_002970_00"/>
      <sheetName val="0843_002660_00"/>
      <sheetName val="Project Detail (12)"/>
      <sheetName val="离职统计"/>
      <sheetName val="WO list"/>
      <sheetName val="Total Trends"/>
      <sheetName val="550501-消耗品"/>
      <sheetName val="TY9007本勞"/>
      <sheetName val="Transformation Wrksht-Mech"/>
      <sheetName val="comp"/>
      <sheetName val="BD1 Cost M"/>
      <sheetName val="Trooper P&amp;Q Matrix"/>
      <sheetName val="Round 1"/>
      <sheetName val="週除外名細"/>
      <sheetName val="Transformation Wrksht_Mech"/>
      <sheetName val="(ODM)Quotation_"/>
      <sheetName val="(ODM)Quotation__(2)"/>
      <sheetName val="Cost_adjustment"/>
      <sheetName val="Project_Detail_(12)"/>
      <sheetName val="WO_list"/>
      <sheetName val="Transformation_Wrksht-Mech"/>
      <sheetName val="BD1_Cost_M"/>
      <sheetName val="Trooper_P&amp;Q_Matrix"/>
      <sheetName val="Round_1"/>
      <sheetName val="SZ"/>
      <sheetName val="choose list"/>
      <sheetName val="分類表"/>
      <sheetName val="Stiletto_TOP5"/>
      <sheetName val="Tokyo_TOP5"/>
      <sheetName val="CM Matl Act Quote 81AA 1002"/>
      <sheetName val="codes"/>
      <sheetName val="Unity 3.3 Gerber Feb. 2002 quot"/>
      <sheetName val="Unity 3.3 Gerber Feb"/>
      <sheetName val="Unity%203.3%20Gerber%20Feb.%202"/>
      <sheetName val="Sheet2"/>
      <sheetName val="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spending analysis-April"/>
      <sheetName val="till May費用明細"/>
      <sheetName val="Jan~May"/>
      <sheetName val="PD4工時分攤"/>
      <sheetName val="效率表"/>
      <sheetName val="550501-消耗品"/>
      <sheetName val="550901-文具費"/>
      <sheetName val="551301修繕費"/>
      <sheetName val="551101運費"/>
      <sheetName val="552801雜項請購"/>
      <sheetName val="551201郵電費"/>
      <sheetName val="551002"/>
      <sheetName val="552301治具費"/>
      <sheetName val="552809雜項請購"/>
      <sheetName val="552701軟體費"/>
      <sheetName val="550601材料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月預估達成值"/>
      <sheetName val="5月產值"/>
      <sheetName val="WO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43-002660-00"/>
      <sheetName val="0843-002970-00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Summary"/>
      <sheetName val="AMF"/>
      <sheetName val="Japan"/>
      <sheetName val="APCC"/>
      <sheetName val="CCC"/>
      <sheetName val="EMF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iletto_NDF TOP5"/>
      <sheetName val="Tokyo_NDF TOP5"/>
      <sheetName val="Apollo_NDF TOP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comp"/>
      <sheetName val="BU1"/>
      <sheetName val="BD1"/>
      <sheetName val="BD2"/>
      <sheetName val="BD3"/>
      <sheetName val="Spartan 88P5887 BOM1.3"/>
      <sheetName val="Spartan 02R4088 BOM1.2"/>
      <sheetName val="Dragon3 88P5889 BOM1.3"/>
      <sheetName val="Dragon3 02R4090 BOM1.2"/>
      <sheetName val="Venus Storm BOM"/>
      <sheetName val="Krypton BoM cost"/>
      <sheetName val="V3.5 WIO BOM (02R4074)"/>
      <sheetName val="V3.5 WOIO BOM (02R4075)"/>
      <sheetName val="Stiletto 73P0798 BOM"/>
      <sheetName val="Stiletto 73P0790 BOM "/>
      <sheetName val="ST-G 73P0799 BOM"/>
      <sheetName val="ST-G 73P0791 BOM"/>
      <sheetName val="SHADOW BoM costed"/>
      <sheetName val="SHADOW-G BoM costed"/>
      <sheetName val="diamante bom "/>
      <sheetName val="glass bom "/>
      <sheetName val="carbon bom"/>
      <sheetName val="Trooper Costed BOM "/>
      <sheetName val="BD3.."/>
      <sheetName val="Yukon"/>
      <sheetName val="D2"/>
      <sheetName val="Butterfly-BD"/>
      <sheetName val="Butterfly-MP"/>
      <sheetName val="REVENUE0412"/>
      <sheetName val="Project Detail (12)"/>
      <sheetName val="ref"/>
      <sheetName val="codes"/>
      <sheetName val="TR by BG"/>
      <sheetName val="TR by BU"/>
      <sheetName val="TR by SITE"/>
      <sheetName val="POS"/>
      <sheetName val="BD1 Cost M"/>
      <sheetName val="BD2 Cost M"/>
      <sheetName val="BD3 Cost M"/>
      <sheetName val="Y12 Summary"/>
      <sheetName val="0843-002660-00"/>
      <sheetName val="0843-002970-00"/>
      <sheetName val="Chart2"/>
      <sheetName val="Chart1"/>
      <sheetName val="Chart_all"/>
      <sheetName val="Transformation Wrksht-Mech"/>
      <sheetName val="Engineering NRE"/>
      <sheetName val="Spartan_88P5887_BOM1_3"/>
      <sheetName val="Spartan_02R4088_BOM1_2"/>
      <sheetName val="Dragon3_88P5889_BOM1_3"/>
      <sheetName val="Dragon3_02R4090_BOM1_2"/>
      <sheetName val="Venus_Storm_BOM"/>
      <sheetName val="Krypton_BoM_cost"/>
      <sheetName val="V3_5_WIO_BOM_(02R4074)"/>
      <sheetName val="V3_5_WOIO_BOM_(02R4075)"/>
      <sheetName val="Stiletto_73P0798_BOM"/>
      <sheetName val="Stiletto_73P0790_BOM_"/>
      <sheetName val="ST-G_73P0799_BOM"/>
      <sheetName val="ST-G_73P0791_BOM"/>
      <sheetName val="SHADOW_BoM_costed"/>
      <sheetName val="SHADOW-G_BoM_costed"/>
      <sheetName val="diamante_bom_"/>
      <sheetName val="glass_bom_"/>
      <sheetName val="carbon_bom"/>
      <sheetName val="Trooper_Costed_BOM_"/>
      <sheetName val="BD3__"/>
      <sheetName val="Project_Detail_(12)"/>
      <sheetName val="Transformation_Wrksht-Mech"/>
      <sheetName val="MP FPY Trend Chart"/>
      <sheetName val="choose list"/>
      <sheetName val="LSS"/>
      <sheetName val="Sheet1"/>
      <sheetName val="分類表"/>
      <sheetName val="Y07(TWD)"/>
      <sheetName val="Y08(TWD)"/>
      <sheetName val="Apollo_NDF TOP5"/>
      <sheetName val="Trooper P&amp;Q Matrix"/>
      <sheetName val="기준정보"/>
      <sheetName val="WO list"/>
      <sheetName val="Spring_Formula"/>
      <sheetName val="Equipment Info assumptions"/>
      <sheetName val="Master Lists"/>
      <sheetName val="summary_4.5%MOH"/>
      <sheetName val="dropdown"/>
      <sheetName val="FA-LISTING"/>
      <sheetName val="二廠"/>
      <sheetName val="一廠"/>
      <sheetName val="2.1 PL By BU"/>
      <sheetName val="LCM_Capa"/>
      <sheetName val="Summary"/>
      <sheetName val="#REF!"/>
      <sheetName val="Computing Y05"/>
      <sheetName val="Sales judgement"/>
      <sheetName val="Customer PRG(FCST)"/>
      <sheetName val="Unit pirce"/>
      <sheetName val="法規課84上半年經營實績"/>
      <sheetName val="Status_ME"/>
      <sheetName val="NPI-Mx TEAM"/>
      <sheetName val="Interface M."/>
      <sheetName val="Spartan_88P5887_BOM1_31"/>
      <sheetName val="Spartan_02R4088_BOM1_21"/>
      <sheetName val="Dragon3_88P5889_BOM1_31"/>
      <sheetName val="Dragon3_02R4090_BOM1_21"/>
      <sheetName val="Venus_Storm_BOM1"/>
      <sheetName val="Krypton_BoM_cost1"/>
      <sheetName val="V3_5_WIO_BOM_(02R4074)1"/>
      <sheetName val="V3_5_WOIO_BOM_(02R4075)1"/>
      <sheetName val="Stiletto_73P0798_BOM1"/>
      <sheetName val="Stiletto_73P0790_BOM_1"/>
      <sheetName val="ST-G_73P0799_BOM1"/>
      <sheetName val="ST-G_73P0791_BOM1"/>
      <sheetName val="SHADOW_BoM_costed1"/>
      <sheetName val="SHADOW-G_BoM_costed1"/>
      <sheetName val="diamante_bom_1"/>
      <sheetName val="glass_bom_1"/>
      <sheetName val="carbon_bom1"/>
      <sheetName val="Trooper_Costed_BOM_1"/>
      <sheetName val="BD3__1"/>
      <sheetName val="Project_Detail_(12)1"/>
      <sheetName val="TR_by_BG"/>
      <sheetName val="TR_by_BU"/>
      <sheetName val="TR_by_SITE"/>
      <sheetName val="Transformation_Wrksht-Mech1"/>
      <sheetName val="Engineering_NRE"/>
      <sheetName val="BD1_Cost_M"/>
      <sheetName val="BD2_Cost_M"/>
      <sheetName val="BD3_Cost_M"/>
      <sheetName val="Y12_Summary"/>
      <sheetName val="choose_list"/>
      <sheetName val="MP_FPY_Trend_Chart"/>
      <sheetName val="Apollo_NDF_TOP5"/>
      <sheetName val="WO_list"/>
      <sheetName val="Equipment_Info_assumptions"/>
      <sheetName val="Master_Lists"/>
      <sheetName val="summary_4_5%MOH"/>
      <sheetName val="Trooper_P&amp;Q_Matrix"/>
      <sheetName val="2_1_PL_By_BU"/>
      <sheetName val="550501-消耗品"/>
      <sheetName val="總資產"/>
      <sheetName val="21R4167"/>
      <sheetName val="0843_002660_00"/>
      <sheetName val="0843_002970_00"/>
      <sheetName val="SAP"/>
      <sheetName val="Button"/>
      <sheetName val="DoorWindow"/>
      <sheetName val="Hub"/>
      <sheetName val="Key Fob"/>
      <sheetName val="Lamp"/>
      <sheetName val="PIR"/>
      <sheetName val="Alarm"/>
      <sheetName val="Trooper BOM quote"/>
      <sheetName val=""/>
      <sheetName val="Sheet2"/>
      <sheetName val="Pre-Runin"/>
      <sheetName val="Pebble FAE reports"/>
      <sheetName val="customer list"/>
      <sheetName val="週除外名細"/>
      <sheetName val="BI BY DEVICE"/>
      <sheetName val="SCG PO"/>
      <sheetName val="Current prov T-3"/>
      <sheetName val="Sal"/>
      <sheetName val="Coding"/>
      <sheetName val="FA_LISTING"/>
      <sheetName val="MEMO (2)"/>
      <sheetName val="RM-AR"/>
      <sheetName val="Data lists"/>
      <sheetName val="Cost Breakdown"/>
      <sheetName val="Barbados G costed BOM"/>
      <sheetName val="Q#3839"/>
      <sheetName val="QuoteFormat"/>
      <sheetName val="0518"/>
      <sheetName val="Spec Source"/>
      <sheetName val="8-09-02"/>
      <sheetName val="Information"/>
      <sheetName val="Dbase"/>
      <sheetName val="2003 Mar.Compare0304-ver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Computing"/>
      <sheetName val="BD1"/>
      <sheetName val="BD2"/>
      <sheetName val="BD3"/>
      <sheetName val="Over due"/>
      <sheetName val="Over Due status Apr.11"/>
      <sheetName val="Expense"/>
      <sheetName val="Cost management"/>
      <sheetName val="BU1 Cost M"/>
      <sheetName val="BD1 Cost M"/>
      <sheetName val="BD2 Cost M"/>
      <sheetName val="BD3 Cost M"/>
      <sheetName val="ref"/>
      <sheetName val="Receiving Inspection"/>
      <sheetName val="TR by BG"/>
      <sheetName val="TR by BU"/>
      <sheetName val="TR by SITE"/>
      <sheetName val="comp"/>
      <sheetName val="REVENUE0412"/>
      <sheetName val="Currencies"/>
      <sheetName val="Round 1"/>
      <sheetName val="Equipment Info assumptions"/>
      <sheetName val="W44"/>
      <sheetName val="MP FPY Trend Chart"/>
      <sheetName val="550501-消耗品"/>
      <sheetName val="Over_due"/>
      <sheetName val="Over_Due_status_Apr_11"/>
      <sheetName val="Cost_management"/>
      <sheetName val="BU1_Cost_M"/>
      <sheetName val="BD1_Cost_M"/>
      <sheetName val="BD2_Cost_M"/>
      <sheetName val="BD3_Cost_M"/>
      <sheetName val="Receiving_Inspection"/>
      <sheetName val="TR_by_BG"/>
      <sheetName val="TR_by_BU"/>
      <sheetName val="TR_by_SITE"/>
      <sheetName val="Round_1"/>
      <sheetName val="Equipment_Info_assumptions"/>
      <sheetName val="MP_FPY_Trend_Chart"/>
      <sheetName val="週除外名細"/>
      <sheetName val="choose list"/>
      <sheetName val="分類表"/>
      <sheetName val="Simulation"/>
      <sheetName val="MOB Apr 10 monthly"/>
      <sheetName val="Rev-SITE(Q)"/>
      <sheetName val="Rev-SITE Q comparison"/>
      <sheetName val="RM-AR"/>
      <sheetName val="Master"/>
      <sheetName val="SubOrg"/>
      <sheetName val="Salary"/>
      <sheetName val="DLOH"/>
      <sheetName val="Space"/>
      <sheetName val="Productivity"/>
      <sheetName val="HC Plan"/>
      <sheetName val="Capex"/>
      <sheetName val="SWOT"/>
      <sheetName val="2018~2022 Financials"/>
      <sheetName val="PL Sum"/>
      <sheetName val="FA-LISTING"/>
      <sheetName val="customer list"/>
      <sheetName val="Definition"/>
      <sheetName val="param"/>
      <sheetName val="summary_4.5%MOH"/>
      <sheetName val="020529P2 (3)"/>
      <sheetName val="LCM_Capa"/>
      <sheetName val="BD1_Cost_M1"/>
      <sheetName val="BD2_Cost_M1"/>
      <sheetName val="BD3_Cost_M1"/>
      <sheetName val="Over_due1"/>
      <sheetName val="Over_Due_status_Apr_111"/>
      <sheetName val="Cost_management1"/>
      <sheetName val="BU1_Cost_M1"/>
      <sheetName val="Receiving_Inspection1"/>
      <sheetName val="TR_by_BU1"/>
      <sheetName val="TR_by_SITE1"/>
      <sheetName val="TR_by_BG1"/>
      <sheetName val="Round_11"/>
      <sheetName val="Equipment_Info_assumptions1"/>
      <sheetName val="MP_FPY_Trend_Chart1"/>
      <sheetName val="choose_list"/>
      <sheetName val="MOB_Apr_10_monthly"/>
      <sheetName val="Rev-SITE_Q_comparison"/>
      <sheetName val="customer_list"/>
      <sheetName val="HC_Plan"/>
      <sheetName val="2018~2022_Financials"/>
      <sheetName val="PL_Sum"/>
      <sheetName val="summary_4_5%MOH"/>
      <sheetName val="020529P2_(3)"/>
      <sheetName val="Sheet1"/>
      <sheetName val="Trooper BOM quote"/>
      <sheetName val="DELL_Schedule"/>
      <sheetName val="CustomerMaster"/>
      <sheetName val="MGMaster"/>
      <sheetName val="basic"/>
      <sheetName val="Apollo_NDF TOP5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AP"/>
      <sheetName val="Feuil1"/>
      <sheetName val="BSF"/>
      <sheetName val="Pebble FAE reports"/>
      <sheetName val="0843-002660-00"/>
      <sheetName val="0843-002970-00"/>
      <sheetName val="Trooper P&amp;Q Matrix"/>
      <sheetName val="Computing Y05"/>
      <sheetName val="Sales judgement"/>
      <sheetName val="Customer PRG(FCST)"/>
      <sheetName val="Unit pirce"/>
      <sheetName val="2.1 PL By BU"/>
      <sheetName val="COPA"/>
      <sheetName val="匯率"/>
      <sheetName val="INCOME98"/>
      <sheetName val="Income Statement"/>
      <sheetName val="Spec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TOP11&amp; GCA month"/>
      <sheetName val="Melco"/>
      <sheetName val="Dell"/>
      <sheetName val="Toshiba"/>
      <sheetName val="Proxim"/>
      <sheetName val="NEC"/>
      <sheetName val="HP"/>
      <sheetName val="Sony"/>
      <sheetName val="Apple"/>
      <sheetName val="IBM"/>
      <sheetName val="Others"/>
      <sheetName val="Sheet3"/>
      <sheetName val="Revenue"/>
      <sheetName val="NBD 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Sales Funnel"/>
      <sheetName val="choose list"/>
      <sheetName val="Funnel overview"/>
      <sheetName val="Model number"/>
      <sheetName val="Lost&amp;Win project"/>
      <sheetName val="1127-xx"/>
      <sheetName val="IA1"/>
      <sheetName val="BD1 Cost M"/>
      <sheetName val="BD2 Cost M"/>
      <sheetName val="BD3 Cost M"/>
      <sheetName val="分類表"/>
      <sheetName val="no close order"/>
      <sheetName val="550501-消耗品"/>
      <sheetName val="BE FA "/>
      <sheetName val="ref"/>
      <sheetName val="W44"/>
      <sheetName val="Tokyo_TOP5"/>
      <sheetName val="customer list"/>
      <sheetName val="Rev"/>
      <sheetName val="0843-002660-00"/>
      <sheetName val="0843-002970-00"/>
      <sheetName val="RM-AR"/>
      <sheetName val="PCMaster"/>
      <sheetName val="CustomerMaster"/>
      <sheetName val="MGMaster"/>
      <sheetName val="basic"/>
      <sheetName val="MP FPY Trend Chart"/>
      <sheetName val="2.1 PL By BU"/>
      <sheetName val="Coding"/>
      <sheetName val="Apollo_NDF TOP5"/>
      <sheetName val="DELL_Schedule"/>
      <sheetName val="二廠"/>
      <sheetName val="一廠"/>
      <sheetName val="Transformation Wrksht-Mech"/>
      <sheetName val="Trooper BOM quote"/>
      <sheetName val="每週ASM效率查詢"/>
      <sheetName val="Key component"/>
      <sheetName val="Subsystems"/>
      <sheetName val="SubsysStaging"/>
      <sheetName val="Pebble FAE reports"/>
      <sheetName val="FA-LISTING"/>
      <sheetName val="comp"/>
      <sheetName val="X-Scale"/>
      <sheetName val="Diario Produccion"/>
      <sheetName val="choose_list"/>
      <sheetName val="recenue_achievement%_by_month"/>
      <sheetName val="for_monthly_review"/>
      <sheetName val="guide_line"/>
      <sheetName val="TOP11&amp;_GCA_month"/>
      <sheetName val="NBD_revenue"/>
      <sheetName val="recenue_achievement%"/>
      <sheetName val="BM_revenue_in_Y2004"/>
      <sheetName val="revenue_by_month"/>
      <sheetName val="Sales_Funnel"/>
      <sheetName val="Funnel_overview"/>
      <sheetName val="Model_number"/>
      <sheetName val="Lost&amp;Win_project"/>
      <sheetName val="BD1_Cost_M"/>
      <sheetName val="BD2_Cost_M"/>
      <sheetName val="BD3_Cost_M"/>
      <sheetName val="BE_FA_"/>
      <sheetName val="Apollo_NDF_TOP5"/>
      <sheetName val="no_close_order"/>
      <sheetName val="MP_FPY_Trend_Chart"/>
      <sheetName val="customer_list"/>
      <sheetName val="Transformation_Wrksht-Mech"/>
      <sheetName val="Trooper_BOM_quote"/>
      <sheetName val="WM11001 ES3.4"/>
      <sheetName val="法規課84上半年經營實績"/>
      <sheetName val="工時表"/>
      <sheetName val="Macro1"/>
      <sheetName val="Dollar Volume"/>
      <sheetName val="3G Inputs"/>
      <sheetName val="Input"/>
      <sheetName val="Standards"/>
      <sheetName val="JDM NRE"/>
      <sheetName val="BOM &amp; Freight"/>
      <sheetName val="Multilevel"/>
      <sheetName val="Machines"/>
      <sheetName val="BOM Tree"/>
      <sheetName val="LX_PCB_BOM_OLD"/>
      <sheetName val="Help"/>
      <sheetName val="MPS Q4 FY04"/>
      <sheetName val="TOQM SRA SS"/>
      <sheetName val="LCM_Capa"/>
      <sheetName val="建築物分攤 (2)"/>
      <sheetName val="L-Rev_Mix"/>
      <sheetName val="SUMMARY"/>
      <sheetName val="QUESTIONNAIRE"/>
      <sheetName val="Computing Y05"/>
      <sheetName val="Sales judgement"/>
      <sheetName val="Customer PRG(FCST)"/>
      <sheetName val="Unit pirce"/>
      <sheetName val="已寄出工装单号同步"/>
      <sheetName val="需求测试工装&amp;测试产出"/>
      <sheetName val="PVT已申请周边"/>
      <sheetName val="测试时间和计划"/>
      <sheetName val="灰度需求周边汇总 "/>
      <sheetName val="Retimer Riser"/>
      <sheetName val="Retimer card"/>
      <sheetName val="16卡GPU板"/>
      <sheetName val="8卡GPU板"/>
      <sheetName val="风扇背板"/>
      <sheetName val="CRPS PDB板"/>
      <sheetName val="前IO板"/>
      <sheetName val="Revenue USD"/>
      <sheetName val="NBD revenue 1"/>
      <sheetName val="Sales Funnel "/>
      <sheetName val="Issues List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TOP11&amp; GCA month"/>
      <sheetName val="Melco"/>
      <sheetName val="Dell"/>
      <sheetName val="Toshiba"/>
      <sheetName val="Proxim"/>
      <sheetName val="NEC"/>
      <sheetName val="HP"/>
      <sheetName val="Sony"/>
      <sheetName val="Apple"/>
      <sheetName val="IBM"/>
      <sheetName val="Others"/>
      <sheetName val="Sheet3"/>
      <sheetName val="Revenue"/>
      <sheetName val="NBD 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Sales Funnel"/>
      <sheetName val="choose list"/>
      <sheetName val="Funnel overview"/>
      <sheetName val="Model number"/>
      <sheetName val="Lost&amp;Win 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一廠"/>
      <sheetName val="二廠"/>
      <sheetName val="南崗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Sheet"/>
      <sheetName val="Reschedule-Reconfirm"/>
      <sheetName val="Severity"/>
      <sheetName val="Detection &amp; Prevention"/>
      <sheetName val="Occurrence"/>
      <sheetName val="Combin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B-OGdetails"/>
      <sheetName val="ref"/>
      <sheetName val="COMPARE"/>
      <sheetName val="Krypton  BOM"/>
      <sheetName val="P3.5 BOM"/>
      <sheetName val="Venus Storm BOM"/>
      <sheetName val="V3.5 WIO BOM"/>
      <sheetName val="V3.5 WOIO BOM"/>
      <sheetName val="Spartan Costed BOM 1.2"/>
      <sheetName val="Spartan Costed BOM 1.1"/>
      <sheetName val="Dragon3 1.2 Costed BOM "/>
      <sheetName val="Dragon3 1.1 Costed BOM"/>
      <sheetName val="Project Detail (12)"/>
      <sheetName val="original(Y12)"/>
      <sheetName val="Data lists"/>
      <sheetName val="choose list"/>
      <sheetName val="0843-002660-00"/>
      <sheetName val="0843-002970-00"/>
      <sheetName val="Computing Y05"/>
      <sheetName val="Sales judgement"/>
      <sheetName val="Customer PRG(FCST)"/>
      <sheetName val="Unit pirce"/>
      <sheetName val="BD1 Cost M"/>
      <sheetName val="BD2 Cost M"/>
      <sheetName val="BD3 Cost M"/>
      <sheetName val="COPA"/>
      <sheetName val="匯率"/>
      <sheetName val="W44"/>
      <sheetName val="二廠"/>
      <sheetName val="一廠"/>
      <sheetName val="Stiletto_TOP5"/>
      <sheetName val="Tokyo_TOP5"/>
      <sheetName val="代碼"/>
      <sheetName val="Reason"/>
      <sheetName val="codes"/>
      <sheetName val="電控、加工"/>
      <sheetName val="DELL_Schedule"/>
      <sheetName val="Sheet2"/>
      <sheetName val="TR by BG"/>
      <sheetName val="TR by BU"/>
      <sheetName val="TR by SITE"/>
      <sheetName val="Product list"/>
      <sheetName val="2002 Sep.Compare09012-1.xls"/>
      <sheetName val="2002%20Sep.Compare09012-1.xls"/>
      <sheetName val="2002 Sep.Compare09012-1"/>
      <sheetName val="Chart2"/>
      <sheetName val="Chart1"/>
      <sheetName val="Chart_all"/>
      <sheetName val="2.1 PL By BU"/>
      <sheetName val="INTRO"/>
      <sheetName val="Krypton__BOM"/>
      <sheetName val="P3_5_BOM"/>
      <sheetName val="Venus_Storm_BOM"/>
      <sheetName val="V3_5_WIO_BOM"/>
      <sheetName val="V3_5_WOIO_BOM"/>
      <sheetName val="Spartan_Costed_BOM_1_2"/>
      <sheetName val="Spartan_Costed_BOM_1_1"/>
      <sheetName val="Dragon3_1_2_Costed_BOM_"/>
      <sheetName val="Dragon3_1_1_Costed_BOM"/>
      <sheetName val="Project_Detail_(12)"/>
      <sheetName val="Data_lists"/>
      <sheetName val="choose_list"/>
      <sheetName val="BD1_Cost_M"/>
      <sheetName val="BD2_Cost_M"/>
      <sheetName val="BD3_Cost_M"/>
      <sheetName val="DT MOB (BU3Y06)"/>
      <sheetName val="O-A"/>
      <sheetName val="0-Basics"/>
      <sheetName val=""/>
      <sheetName val="Krypton__BOM1"/>
      <sheetName val="P3_5_BOM1"/>
      <sheetName val="Venus_Storm_BOM1"/>
      <sheetName val="V3_5_WIO_BOM1"/>
      <sheetName val="V3_5_WOIO_BOM1"/>
      <sheetName val="Spartan_Costed_BOM_1_21"/>
      <sheetName val="Spartan_Costed_BOM_1_11"/>
      <sheetName val="Dragon3_1_2_Costed_BOM_1"/>
      <sheetName val="Dragon3_1_1_Costed_BOM1"/>
      <sheetName val="Project_Detail_(12)1"/>
      <sheetName val="Data_lists1"/>
      <sheetName val="choose_list1"/>
      <sheetName val="Computing_Y05"/>
      <sheetName val="Sales_judgement"/>
      <sheetName val="Customer_PRG(FCST)"/>
      <sheetName val="Unit_pirce"/>
      <sheetName val="BD1_Cost_M1"/>
      <sheetName val="BD2_Cost_M1"/>
      <sheetName val="BD3_Cost_M1"/>
      <sheetName val="TR_by_BG"/>
      <sheetName val="TR_by_BU"/>
      <sheetName val="TR_by_SITE"/>
      <sheetName val="Product_list"/>
      <sheetName val="2002_Sep_Compare09012-1_xls"/>
      <sheetName val="2002%20Sep_Compare09012-1_xls"/>
      <sheetName val="2002_Sep_Compare09012-1"/>
      <sheetName val="2_1_PL_By_BU"/>
      <sheetName val="DT_MOB_(BU3Y06)"/>
      <sheetName val="Week REV 25 SH"/>
      <sheetName val="Week REV 25 TW"/>
      <sheetName val="Week REV 36 TW"/>
      <sheetName val="Pre_Runin"/>
      <sheetName val="Pebble FAE reports"/>
      <sheetName val="G8ZFR"/>
      <sheetName val="comp"/>
      <sheetName val="Sheet1"/>
      <sheetName val="RM-AR"/>
      <sheetName val="Final Sheet"/>
      <sheetName val="FA-LISTING"/>
      <sheetName val="CB Assembly"/>
      <sheetName val="CB for Parts"/>
      <sheetName val="CB Plastic"/>
      <sheetName val="CB springs"/>
      <sheetName val="CB Stamping"/>
      <sheetName val="CB Zamak"/>
      <sheetName val="Definition"/>
      <sheetName val="CB for tooling"/>
      <sheetName val="Summary sheet"/>
      <sheetName val="Pre-Runin"/>
      <sheetName val="週除外名細"/>
      <sheetName val="Trooper P&amp;Q Matrix"/>
      <sheetName val="Threshold Table"/>
      <sheetName val="InfoSht"/>
      <sheetName val="PD2"/>
      <sheetName val="X-Scale"/>
      <sheetName val="no close order"/>
      <sheetName val="單位"/>
      <sheetName val="單位人員"/>
      <sheetName val="customer list"/>
      <sheetName val="除外工時排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Delta"/>
      <sheetName val="Project"/>
      <sheetName val="Plan"/>
      <sheetName val="Act Built"/>
      <sheetName val="MDS"/>
      <sheetName val="Bitacora cambios"/>
      <sheetName val="Final Sheet"/>
      <sheetName val="Severity"/>
      <sheetName val="Detection &amp; Prevention"/>
      <sheetName val="Occurrence"/>
      <sheetName val="Sheet1"/>
      <sheetName val="Combined"/>
      <sheetName val="Reschedule-Reconfi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ponse Worksheet"/>
      <sheetName val="Combined"/>
      <sheetName val="Act Built"/>
      <sheetName val="Final Sheet"/>
      <sheetName val="Sheet1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O-A"/>
      <sheetName val="MPS"/>
      <sheetName val="O_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工時表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rooper P&amp;Q Matrix"/>
      <sheetName val="Cost adjustment"/>
      <sheetName val="Trooper Costed BOM "/>
      <sheetName val="Analysis"/>
      <sheetName val="Trooper P_Q Matrix"/>
      <sheetName val="ref"/>
      <sheetName val="Project Detail (12)"/>
      <sheetName val="Sheet2"/>
      <sheetName val="comp"/>
      <sheetName val="MP FPY Trend Chart"/>
      <sheetName val="PD2"/>
      <sheetName val="Round 1"/>
      <sheetName val="Transformation Wrksht-Mech"/>
      <sheetName val="choose list"/>
      <sheetName val="Trooper_P&amp;Q_Matrix"/>
      <sheetName val="Cost_adjustment"/>
      <sheetName val="Trooper_Costed_BOM_"/>
      <sheetName val="Trooper_P_Q_Matrix"/>
      <sheetName val="Project_Detail_(12)"/>
      <sheetName val="MP_FPY_Trend_Chart"/>
      <sheetName val="Round_1"/>
      <sheetName val="Transformation_Wrksht-Mech"/>
      <sheetName val="W44"/>
      <sheetName val="PRG Input"/>
      <sheetName val="PRLI_IR_ 10_05"/>
      <sheetName val="Product list"/>
      <sheetName val="Transformation Wrksht_Mech"/>
      <sheetName val="Sheet3"/>
      <sheetName val="Coding"/>
      <sheetName val="FIN_Cust"/>
      <sheetName val="電控、加工"/>
      <sheetName val="customer list"/>
      <sheetName val="RAW"/>
      <sheetName val="#REF!"/>
      <sheetName val="Februar 2002"/>
      <sheetName val="Data lists"/>
      <sheetName val="Trooper_P&amp;Q_Matrix1"/>
      <sheetName val="Cost_adjustment1"/>
      <sheetName val="Trooper_Costed_BOM_1"/>
      <sheetName val="Trooper_P_Q_Matrix1"/>
      <sheetName val="Project_Detail_(12)1"/>
      <sheetName val="MP_FPY_Trend_Chart1"/>
      <sheetName val="Round_11"/>
      <sheetName val="Transformation_Wrksht-Mech1"/>
      <sheetName val="choose_list"/>
      <sheetName val="PRG_Input"/>
      <sheetName val="Product_list"/>
      <sheetName val="PRLI_IR__10_05"/>
      <sheetName val="Transformation_Wrksht_Mech"/>
      <sheetName val="Rev"/>
      <sheetName val=""/>
      <sheetName val="date2"/>
      <sheetName val="TR by BG"/>
      <sheetName val="TR by BU"/>
      <sheetName val="TR by SITE"/>
      <sheetName val="SupplierBaseInput"/>
      <sheetName val="sales price decrease"/>
      <sheetName val="TABLES"/>
      <sheetName val="COMMENTS"/>
      <sheetName val="O-A"/>
      <sheetName val="O_A"/>
      <sheetName val="Reschedule-Reconfirm"/>
      <sheetName val="Combined"/>
      <sheetName val="Definition"/>
      <sheetName val="RM-AR"/>
      <sheetName val="Engineering NRE"/>
      <sheetName val="二廠"/>
      <sheetName val="一廠"/>
      <sheetName val="TEST CODE"/>
      <sheetName val="answer"/>
      <sheetName val="4.Fixed Asset"/>
      <sheetName val="04-Migration"/>
      <sheetName val="Feuil1"/>
      <sheetName val="Stiletto_TOP5"/>
      <sheetName val="Tokyo_TOP5"/>
      <sheetName val="Detection &amp; Prevention"/>
      <sheetName val="Occurrence"/>
      <sheetName val="出貨安排"/>
      <sheetName val="Sum"/>
      <sheetName val="customer_list"/>
      <sheetName val="Februar_2002"/>
      <sheetName val="Data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ombined"/>
      <sheetName val="Act Built"/>
      <sheetName val="Issues List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rooper BOM quote"/>
      <sheetName val="Trooper P&amp;Q Matrix"/>
      <sheetName val="Trooper Freight Detail"/>
      <sheetName val="ref"/>
      <sheetName val="ICT&amp;F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"/>
      <sheetName val="DELL_Schedule"/>
      <sheetName val="DELL_STGR"/>
      <sheetName val="Level 1 Commit"/>
      <sheetName val="DELL_MRP"/>
      <sheetName val="Dell_Sch_Comparis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Revenue USD"/>
      <sheetName val="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NBD revenue 1"/>
      <sheetName val="Sales Funnel "/>
      <sheetName val="choose list"/>
      <sheetName val="Funnel overview"/>
      <sheetName val="Lost&amp;Win project"/>
      <sheetName val="Issues List"/>
      <sheetName val="Reschedule-Reconfirm"/>
      <sheetName val="Severity"/>
      <sheetName val="comp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Revenue USD"/>
      <sheetName val="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NBD revenue 1"/>
      <sheetName val="Sales Funnel "/>
      <sheetName val="choose list"/>
      <sheetName val="Funnel overview"/>
      <sheetName val="Lost&amp;Win 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2012 0ne time"/>
      <sheetName val="RevenuebyCustomer"/>
      <sheetName val="Cost_MLikely"/>
      <sheetName val="Cost_Agg"/>
      <sheetName val="P&amp;L by Customer(8Q)"/>
      <sheetName val="Revenue by customer"/>
      <sheetName val="2013P&amp;L (MLikely)"/>
      <sheetName val="2012 FCST Details (UG)"/>
      <sheetName val="2012P&amp;L(UG)"/>
      <sheetName val="DM trend 2012"/>
      <sheetName val="2013P&amp;L (Aggressive)"/>
      <sheetName val="8Q P&amp;L ( Mlikely 2014)"/>
      <sheetName val="2013 customer PNL"/>
      <sheetName val=" 2012 Customer P&amp;L- YTD"/>
      <sheetName val="2012 Customer P&amp;L- 2012. 2013"/>
      <sheetName val="HC Plan"/>
      <sheetName val="8Q P&amp;L (MLikely)"/>
      <sheetName val="2012 FCST Details (UG+ASE)"/>
      <sheetName val="2013 FCST Details (UG+ASE) "/>
      <sheetName val="2014 PNL  UG"/>
      <sheetName val="2013P&amp;L(UG)"/>
      <sheetName val="2013 One time"/>
      <sheetName val="Project"/>
      <sheetName val="March CO model"/>
      <sheetName val="March 1-24 shipping"/>
      <sheetName val="Feb shipping data"/>
      <sheetName val="PNL V2"/>
      <sheetName val="PNL Review"/>
      <sheetName val="Xrate"/>
      <sheetName val="EBT"/>
      <sheetName val="2013P&amp;L SIMUATION"/>
      <sheetName val="DM trend 2013"/>
      <sheetName val="Funnel"/>
      <sheetName val="2013P&amp;LbyQ"/>
      <sheetName val="2012P&amp;L"/>
      <sheetName val="P&amp;L Plan-Most Likely"/>
      <sheetName val="P&amp;L Plan-Aggressive"/>
      <sheetName val="8Q P&amp;L (Aggressive)"/>
      <sheetName val="2013-2017"/>
      <sheetName val="2012~2017 Financials"/>
      <sheetName val="BU productivity"/>
      <sheetName val="SH"/>
      <sheetName val="P&amp;LByCust"/>
      <sheetName val="Sales by ems odm"/>
      <sheetName val="RevByCust"/>
      <sheetName val="2013 kpi"/>
      <sheetName val="2013 SALS BY CUMSTOEMR"/>
      <sheetName val="KPI 11"/>
      <sheetName val="KPI"/>
      <sheetName val="Capex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hoose list"/>
      <sheetName val="Issues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Issues"/>
      <sheetName val="MP FPY Trend Chart"/>
      <sheetName val="Mobility"/>
      <sheetName val="Non-Mobility"/>
      <sheetName val="Wacom SU"/>
      <sheetName val="MC3000不良分析"/>
      <sheetName val="Magnum不良分析"/>
      <sheetName val="XG不良分析"/>
      <sheetName val="TP7500不良分析"/>
      <sheetName val="Virgo不良分析"/>
      <sheetName val="Polaris不良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yo_TOP5"/>
      <sheetName val="Stiletto_TOP5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產值表"/>
      <sheetName val="data"/>
      <sheetName val="total"/>
      <sheetName val="分類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O-A"/>
      <sheetName val="MPS"/>
      <sheetName val="O_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tend"/>
      <sheetName val="PD2"/>
      <sheetName val="PD3"/>
      <sheetName val="O-A"/>
      <sheetName val="Y09A"/>
      <sheetName val="Y07(TWD)"/>
      <sheetName val="Y08(TWD)"/>
      <sheetName val="intel target"/>
      <sheetName val="分類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comparison sheet"/>
      <sheetName val="Unit price breakdown"/>
      <sheetName val="Check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F Port"/>
      <sheetName val=" T3 MOB"/>
      <sheetName val=" T3 RF"/>
      <sheetName val=" Apollo MB"/>
      <sheetName val=" Apollo DB"/>
      <sheetName val="X-Scale"/>
      <sheetName val="Sheet1"/>
      <sheetName val="Q2"/>
      <sheetName val="Q3"/>
      <sheetName val="X_Sc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44"/>
      <sheetName val="W45"/>
      <sheetName val="W46"/>
      <sheetName val="W47"/>
      <sheetName val="W48"/>
      <sheetName val="W49"/>
      <sheetName val="W50"/>
      <sheetName val="FISH BONE AND ACTION LOG"/>
      <sheetName val="每週ASM效率查詢"/>
      <sheetName val="5.遞延費用預算"/>
      <sheetName val="4.固定資產預算"/>
      <sheetName val="4.Fixed Asset"/>
      <sheetName val="Computing Y05"/>
      <sheetName val="Sales judgement"/>
      <sheetName val="Customer PRG(FCST)"/>
      <sheetName val="Unit pirce"/>
      <sheetName val="ZF284"/>
      <sheetName val="X-Scale"/>
      <sheetName val="Cost comparison sheet"/>
      <sheetName val="Unit price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CoverPage for PFMEA"/>
      <sheetName val="Definitions"/>
      <sheetName val="PFMEA Major Steps"/>
      <sheetName val="PFMEA Common Pitfalls"/>
      <sheetName val="PFMEA Template"/>
      <sheetName val="Control Plan Template"/>
      <sheetName val="Severity"/>
      <sheetName val="Occurrence"/>
      <sheetName val="Detection &amp; Prevention"/>
      <sheetName val="Price List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Sheet"/>
      <sheetName val="Reschedule-Reconfirm"/>
      <sheetName val="8866-960001-0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ponse Worksheet"/>
      <sheetName val="Combined"/>
      <sheetName val="Act Built"/>
      <sheetName val="Final Sheet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ombined"/>
      <sheetName val="Act Built"/>
      <sheetName val="Issues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866-960001-02"/>
      <sheetName val="Sheet1"/>
      <sheetName val="Issues List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346"/>
  <sheetViews>
    <sheetView showGridLines="0" tabSelected="1" zoomScale="80" zoomScaleNormal="80" workbookViewId="0">
      <pane xSplit="6" ySplit="2" topLeftCell="G24" activePane="bottomRight" state="frozen"/>
      <selection pane="topRight"/>
      <selection pane="bottomLeft"/>
      <selection pane="bottomRight" activeCell="H11" sqref="H11"/>
    </sheetView>
  </sheetViews>
  <sheetFormatPr defaultColWidth="8.77734375" defaultRowHeight="15.6" x14ac:dyDescent="0.3"/>
  <cols>
    <col min="1" max="1" width="8.77734375" style="7"/>
    <col min="2" max="2" width="13.77734375" style="6" customWidth="1"/>
    <col min="3" max="3" width="14.33203125" style="7" customWidth="1"/>
    <col min="4" max="4" width="15.109375" style="7" customWidth="1"/>
    <col min="5" max="5" width="5.44140625" style="7" customWidth="1"/>
    <col min="6" max="6" width="7.77734375" style="6" customWidth="1"/>
    <col min="7" max="10" width="8.44140625" style="8" customWidth="1"/>
    <col min="11" max="11" width="6.44140625" style="8" customWidth="1"/>
    <col min="12" max="12" width="7.44140625" style="8" customWidth="1"/>
    <col min="13" max="13" width="6.21875" style="8" customWidth="1"/>
    <col min="14" max="14" width="7.6640625" style="8" customWidth="1"/>
    <col min="15" max="15" width="7.21875" style="8" customWidth="1"/>
    <col min="16" max="16" width="7.6640625" style="8" customWidth="1"/>
    <col min="17" max="17" width="7.21875" style="8" customWidth="1"/>
    <col min="18" max="18" width="8" style="8" customWidth="1"/>
    <col min="19" max="19" width="7.77734375" style="8" customWidth="1"/>
    <col min="20" max="20" width="7.33203125" style="8" customWidth="1"/>
    <col min="21" max="21" width="6.33203125" style="8" customWidth="1"/>
    <col min="22" max="22" width="8.21875" style="8" customWidth="1"/>
    <col min="23" max="23" width="7.44140625" style="8" customWidth="1"/>
    <col min="24" max="24" width="6.5546875" style="8" customWidth="1"/>
    <col min="25" max="25" width="6.77734375" style="8" customWidth="1"/>
    <col min="26" max="26" width="6.6640625" style="8" customWidth="1"/>
    <col min="27" max="27" width="7.44140625" style="9" customWidth="1"/>
    <col min="28" max="28" width="7.21875" style="10" customWidth="1"/>
    <col min="29" max="29" width="8.77734375" style="7" customWidth="1"/>
    <col min="30" max="30" width="13.77734375" style="7"/>
    <col min="31" max="16384" width="8.77734375" style="7"/>
  </cols>
  <sheetData>
    <row r="1" spans="1:29" s="1" customFormat="1" x14ac:dyDescent="0.25">
      <c r="B1" s="11"/>
      <c r="C1" s="12"/>
      <c r="E1" s="13"/>
      <c r="F1" s="11"/>
      <c r="G1" s="14">
        <v>0.8</v>
      </c>
      <c r="H1" s="15">
        <v>0.8</v>
      </c>
      <c r="I1" s="14">
        <v>0.8</v>
      </c>
      <c r="J1" s="14">
        <v>0.8</v>
      </c>
      <c r="K1" s="216" t="s">
        <v>0</v>
      </c>
      <c r="L1" s="217"/>
      <c r="M1" s="218"/>
      <c r="N1" s="75"/>
      <c r="O1" s="76"/>
      <c r="P1" s="77">
        <v>1.02</v>
      </c>
      <c r="Q1" s="77"/>
      <c r="R1" s="77"/>
      <c r="S1" s="77">
        <v>1.02</v>
      </c>
      <c r="T1" s="77"/>
      <c r="U1" s="77"/>
      <c r="V1" s="77"/>
      <c r="W1" s="104">
        <v>2E-3</v>
      </c>
      <c r="X1" s="105">
        <v>0.8</v>
      </c>
      <c r="Y1" s="105">
        <v>0.9</v>
      </c>
      <c r="Z1" s="77"/>
      <c r="AA1" s="141"/>
    </row>
    <row r="2" spans="1:29" s="1" customFormat="1" ht="57.6" x14ac:dyDescent="0.25">
      <c r="A2" s="16" t="s">
        <v>1</v>
      </c>
      <c r="B2" s="16" t="s">
        <v>2</v>
      </c>
      <c r="C2" s="17" t="s">
        <v>3</v>
      </c>
      <c r="D2" s="17" t="s">
        <v>4</v>
      </c>
      <c r="E2" s="17" t="s">
        <v>5</v>
      </c>
      <c r="F2" s="18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78" t="s">
        <v>15</v>
      </c>
      <c r="P2" s="78" t="s">
        <v>16</v>
      </c>
      <c r="Q2" s="19" t="s">
        <v>17</v>
      </c>
      <c r="R2" s="78" t="s">
        <v>18</v>
      </c>
      <c r="S2" s="78" t="s">
        <v>19</v>
      </c>
      <c r="T2" s="106" t="s">
        <v>20</v>
      </c>
      <c r="U2" s="107" t="s">
        <v>6</v>
      </c>
      <c r="V2" s="19" t="s">
        <v>21</v>
      </c>
      <c r="W2" s="19" t="s">
        <v>22</v>
      </c>
      <c r="X2" s="19" t="s">
        <v>23</v>
      </c>
      <c r="Y2" s="19" t="s">
        <v>24</v>
      </c>
      <c r="Z2" s="142" t="s">
        <v>25</v>
      </c>
      <c r="AA2" s="143" t="s">
        <v>26</v>
      </c>
      <c r="AB2" s="144"/>
    </row>
    <row r="3" spans="1:29" s="2" customFormat="1" ht="19.05" customHeight="1" x14ac:dyDescent="0.25">
      <c r="A3" s="20">
        <v>45714</v>
      </c>
      <c r="B3" s="70" t="s">
        <v>27</v>
      </c>
      <c r="C3" s="56" t="s">
        <v>28</v>
      </c>
      <c r="D3" s="29" t="s">
        <v>29</v>
      </c>
      <c r="E3" s="64">
        <v>1</v>
      </c>
      <c r="F3" s="23">
        <v>375</v>
      </c>
      <c r="G3" s="26">
        <f>1497.18/G$1</f>
        <v>1871.4749999999999</v>
      </c>
      <c r="H3" s="189">
        <f>540/0.95</f>
        <v>568.42105263157896</v>
      </c>
      <c r="I3" s="189">
        <f>(23+630)/I$1</f>
        <v>816.25</v>
      </c>
      <c r="J3" s="189">
        <f>1710/J$1</f>
        <v>2137.5</v>
      </c>
      <c r="K3" s="80">
        <v>240</v>
      </c>
      <c r="L3" s="99">
        <f>123*1.1*60/2</f>
        <v>4059</v>
      </c>
      <c r="M3" s="80">
        <v>180</v>
      </c>
      <c r="N3" s="80">
        <f t="shared" ref="N3:N41" si="0">SUM(G3:M3)</f>
        <v>9872.6460526315805</v>
      </c>
      <c r="O3" s="109">
        <v>34.299999999999997</v>
      </c>
      <c r="P3" s="81">
        <f t="shared" ref="P3:P6" si="1">ROUND((O3*N3/3600)*1.05,2)</f>
        <v>98.77</v>
      </c>
      <c r="Q3" s="179">
        <v>2558.1128571428599</v>
      </c>
      <c r="R3" s="109">
        <v>162.80000000000001</v>
      </c>
      <c r="S3" s="81">
        <f t="shared" ref="S3:S6" si="2">ROUND((R3*Q3/3600)*1.05,2)</f>
        <v>121.47</v>
      </c>
      <c r="T3" s="108">
        <f t="shared" ref="T3:T41" si="3">SUM(P3,S3)</f>
        <v>220.24</v>
      </c>
      <c r="U3" s="23">
        <f t="shared" ref="U3:U10" si="4">F3</f>
        <v>375</v>
      </c>
      <c r="V3" s="113">
        <v>18308.795163694002</v>
      </c>
      <c r="W3" s="136">
        <f t="shared" ref="W3:W6" si="5">V3*0.004</f>
        <v>73.235180654776002</v>
      </c>
      <c r="X3" s="136">
        <f>ROUNDUP(P3*1.2,2)</f>
        <v>118.53</v>
      </c>
      <c r="Y3" s="136">
        <f>ROUNDUP(P3*1.5,2)</f>
        <v>148.16</v>
      </c>
      <c r="Z3" s="163">
        <f t="shared" ref="Z3:Z41" si="6">ROUNDUP(SUM(T3,W3:Y3),2)</f>
        <v>560.16999999999996</v>
      </c>
      <c r="AA3" s="208"/>
      <c r="AB3" s="209"/>
    </row>
    <row r="4" spans="1:29" s="2" customFormat="1" ht="19.05" customHeight="1" x14ac:dyDescent="0.25">
      <c r="A4" s="20">
        <v>45715</v>
      </c>
      <c r="B4" s="70" t="s">
        <v>27</v>
      </c>
      <c r="C4" s="56" t="s">
        <v>28</v>
      </c>
      <c r="D4" s="29" t="s">
        <v>29</v>
      </c>
      <c r="E4" s="64">
        <v>1</v>
      </c>
      <c r="F4" s="23">
        <v>375</v>
      </c>
      <c r="G4" s="26">
        <f>1497.18/G$1</f>
        <v>1871.4749999999999</v>
      </c>
      <c r="H4" s="189">
        <f>540/0.95</f>
        <v>568.42105263157896</v>
      </c>
      <c r="I4" s="189">
        <f>(23+630)/I$1</f>
        <v>816.25</v>
      </c>
      <c r="J4" s="189">
        <f>1710/J$1</f>
        <v>2137.5</v>
      </c>
      <c r="K4" s="80">
        <v>240</v>
      </c>
      <c r="L4" s="99">
        <f>123*1.1*60/2</f>
        <v>4059</v>
      </c>
      <c r="M4" s="80">
        <v>180</v>
      </c>
      <c r="N4" s="80">
        <f t="shared" si="0"/>
        <v>9872.6460526315805</v>
      </c>
      <c r="O4" s="109">
        <v>34.299999999999997</v>
      </c>
      <c r="P4" s="81">
        <f t="shared" si="1"/>
        <v>98.77</v>
      </c>
      <c r="Q4" s="179">
        <v>2558.1128571428599</v>
      </c>
      <c r="R4" s="109">
        <v>162.80000000000001</v>
      </c>
      <c r="S4" s="81">
        <f t="shared" si="2"/>
        <v>121.47</v>
      </c>
      <c r="T4" s="108">
        <f t="shared" si="3"/>
        <v>220.24</v>
      </c>
      <c r="U4" s="23">
        <f t="shared" si="4"/>
        <v>375</v>
      </c>
      <c r="V4" s="113">
        <v>18036.189163694002</v>
      </c>
      <c r="W4" s="136">
        <f t="shared" si="5"/>
        <v>72.144756654776003</v>
      </c>
      <c r="X4" s="136">
        <f>ROUNDUP(P4*1.2,2)</f>
        <v>118.53</v>
      </c>
      <c r="Y4" s="136">
        <f>ROUNDUP(P4*1.5,2)</f>
        <v>148.16</v>
      </c>
      <c r="Z4" s="163">
        <f t="shared" si="6"/>
        <v>559.08000000000004</v>
      </c>
      <c r="AA4" s="208"/>
      <c r="AB4" s="209"/>
    </row>
    <row r="5" spans="1:29" s="2" customFormat="1" ht="19.05" customHeight="1" x14ac:dyDescent="0.25">
      <c r="A5" s="20">
        <v>45716</v>
      </c>
      <c r="B5" s="71" t="s">
        <v>30</v>
      </c>
      <c r="C5" s="71" t="s">
        <v>31</v>
      </c>
      <c r="D5" s="29" t="s">
        <v>32</v>
      </c>
      <c r="E5" s="24">
        <v>1</v>
      </c>
      <c r="F5" s="23">
        <v>2000</v>
      </c>
      <c r="G5" s="26">
        <f>850.93/G$1</f>
        <v>1063.6624999999999</v>
      </c>
      <c r="H5" s="26">
        <f>800.8/$G$1</f>
        <v>1001</v>
      </c>
      <c r="I5" s="26">
        <f t="shared" ref="I5:I10" si="7">(23)/I$1</f>
        <v>28.75</v>
      </c>
      <c r="J5" s="26">
        <f>651/J$1</f>
        <v>813.75</v>
      </c>
      <c r="K5" s="80">
        <v>180</v>
      </c>
      <c r="L5" s="174">
        <f>60*1.1*60/2</f>
        <v>1980</v>
      </c>
      <c r="M5" s="80">
        <v>180</v>
      </c>
      <c r="N5" s="80">
        <f t="shared" si="0"/>
        <v>5247.1625000000004</v>
      </c>
      <c r="O5" s="109">
        <v>34.299999999999997</v>
      </c>
      <c r="P5" s="81">
        <f>ROUND((O5*N5/3600)*1.02,2)</f>
        <v>50.99</v>
      </c>
      <c r="Q5" s="179">
        <v>1324.18</v>
      </c>
      <c r="R5" s="109">
        <v>162.80000000000001</v>
      </c>
      <c r="S5" s="81">
        <f>ROUND((R5*Q5/3600)*1.02,2)</f>
        <v>61.08</v>
      </c>
      <c r="T5" s="108">
        <f t="shared" si="3"/>
        <v>112.07</v>
      </c>
      <c r="U5" s="23">
        <f t="shared" si="4"/>
        <v>2000</v>
      </c>
      <c r="V5" s="183">
        <f>2869</f>
        <v>2869</v>
      </c>
      <c r="W5" s="139">
        <f t="shared" ref="W5:W9" si="8">V5*0.002</f>
        <v>5.7380000000000004</v>
      </c>
      <c r="X5" s="120">
        <f t="shared" ref="X5:X9" si="9">ROUNDUP(P5*0.8,2)</f>
        <v>40.799999999999997</v>
      </c>
      <c r="Y5" s="120">
        <f t="shared" ref="Y5:Y9" si="10">ROUNDUP(P5*0.9,2)</f>
        <v>45.9</v>
      </c>
      <c r="Z5" s="163">
        <f t="shared" si="6"/>
        <v>204.51</v>
      </c>
      <c r="AA5" s="208">
        <v>4454</v>
      </c>
      <c r="AB5" s="209"/>
    </row>
    <row r="6" spans="1:29" s="2" customFormat="1" ht="19.05" customHeight="1" x14ac:dyDescent="0.25">
      <c r="A6" s="20">
        <v>45720</v>
      </c>
      <c r="B6" s="71" t="s">
        <v>33</v>
      </c>
      <c r="C6" s="71" t="s">
        <v>34</v>
      </c>
      <c r="D6" s="29" t="s">
        <v>35</v>
      </c>
      <c r="E6" s="24">
        <v>1</v>
      </c>
      <c r="F6" s="23">
        <v>500</v>
      </c>
      <c r="G6" s="26">
        <f>575/G$1</f>
        <v>718.75</v>
      </c>
      <c r="H6" s="26">
        <f>0/$G$1</f>
        <v>0</v>
      </c>
      <c r="I6" s="26">
        <f>(0)/I$1</f>
        <v>0</v>
      </c>
      <c r="J6" s="26">
        <f>480/J$1</f>
        <v>600</v>
      </c>
      <c r="K6" s="80">
        <v>90</v>
      </c>
      <c r="L6" s="174">
        <f>40*1.1*60/2-92*1.1/2</f>
        <v>1269.4000000000001</v>
      </c>
      <c r="M6" s="80">
        <v>180</v>
      </c>
      <c r="N6" s="80">
        <f t="shared" si="0"/>
        <v>2858.15</v>
      </c>
      <c r="O6" s="109">
        <v>34.299999999999997</v>
      </c>
      <c r="P6" s="81">
        <f t="shared" si="1"/>
        <v>28.59</v>
      </c>
      <c r="Q6" s="179">
        <v>878</v>
      </c>
      <c r="R6" s="109">
        <v>162.80000000000001</v>
      </c>
      <c r="S6" s="81">
        <f t="shared" si="2"/>
        <v>41.69</v>
      </c>
      <c r="T6" s="108">
        <f t="shared" si="3"/>
        <v>70.28</v>
      </c>
      <c r="U6" s="23">
        <f t="shared" si="4"/>
        <v>500</v>
      </c>
      <c r="V6" s="183">
        <f>1670</f>
        <v>1670</v>
      </c>
      <c r="W6" s="139">
        <f t="shared" si="5"/>
        <v>6.68</v>
      </c>
      <c r="X6" s="120">
        <f>ROUNDUP(P6*1,2)</f>
        <v>28.59</v>
      </c>
      <c r="Y6" s="120">
        <f>ROUNDUP(P6*1.2,2)</f>
        <v>34.31</v>
      </c>
      <c r="Z6" s="163">
        <f t="shared" si="6"/>
        <v>139.86000000000001</v>
      </c>
      <c r="AA6" s="208">
        <v>2557</v>
      </c>
      <c r="AB6" s="209"/>
    </row>
    <row r="7" spans="1:29" s="2" customFormat="1" ht="19.05" customHeight="1" x14ac:dyDescent="0.25">
      <c r="A7" s="20">
        <v>45726</v>
      </c>
      <c r="B7" s="71" t="s">
        <v>36</v>
      </c>
      <c r="C7" s="71" t="s">
        <v>37</v>
      </c>
      <c r="D7" s="29" t="s">
        <v>38</v>
      </c>
      <c r="E7" s="24">
        <v>1</v>
      </c>
      <c r="F7" s="23">
        <v>3000</v>
      </c>
      <c r="G7" s="26">
        <f>1002/G$1</f>
        <v>1252.5</v>
      </c>
      <c r="H7" s="26">
        <f>730.77/0.95</f>
        <v>769.23157894736801</v>
      </c>
      <c r="I7" s="26">
        <f t="shared" si="7"/>
        <v>28.75</v>
      </c>
      <c r="J7" s="26">
        <f>690/J$1</f>
        <v>862.5</v>
      </c>
      <c r="K7" s="80">
        <v>210</v>
      </c>
      <c r="L7" s="174">
        <f>50*1.1*60/2</f>
        <v>1650</v>
      </c>
      <c r="M7" s="80">
        <v>180</v>
      </c>
      <c r="N7" s="80">
        <f t="shared" si="0"/>
        <v>4952.9815789473696</v>
      </c>
      <c r="O7" s="109">
        <v>34.299999999999997</v>
      </c>
      <c r="P7" s="81">
        <f>ROUND((O7*N7/3600)*1.02,2)</f>
        <v>48.13</v>
      </c>
      <c r="Q7" s="179">
        <v>1702.0769230769199</v>
      </c>
      <c r="R7" s="109">
        <v>162.80000000000001</v>
      </c>
      <c r="S7" s="81">
        <f>ROUND((R7*Q7/3600)*1.02,2)</f>
        <v>78.510000000000005</v>
      </c>
      <c r="T7" s="108">
        <f t="shared" si="3"/>
        <v>126.64</v>
      </c>
      <c r="U7" s="23">
        <f t="shared" si="4"/>
        <v>3000</v>
      </c>
      <c r="V7" s="183">
        <v>3715.55078942</v>
      </c>
      <c r="W7" s="139">
        <f t="shared" si="8"/>
        <v>7.4311015788399999</v>
      </c>
      <c r="X7" s="120">
        <f t="shared" si="9"/>
        <v>38.51</v>
      </c>
      <c r="Y7" s="120">
        <f t="shared" si="10"/>
        <v>43.32</v>
      </c>
      <c r="Z7" s="163">
        <f t="shared" si="6"/>
        <v>215.91</v>
      </c>
      <c r="AA7" s="208">
        <v>5092</v>
      </c>
      <c r="AB7" s="209"/>
    </row>
    <row r="8" spans="1:29" s="2" customFormat="1" ht="19.05" customHeight="1" x14ac:dyDescent="0.25">
      <c r="A8" s="20">
        <v>45741</v>
      </c>
      <c r="B8" s="71" t="s">
        <v>39</v>
      </c>
      <c r="C8" s="56" t="s">
        <v>40</v>
      </c>
      <c r="D8" s="29" t="s">
        <v>41</v>
      </c>
      <c r="E8" s="190">
        <v>1</v>
      </c>
      <c r="F8" s="23">
        <v>500</v>
      </c>
      <c r="G8" s="26">
        <f>1008/0.8</f>
        <v>1260</v>
      </c>
      <c r="H8" s="26">
        <f>0/$H$1</f>
        <v>0</v>
      </c>
      <c r="I8" s="26">
        <f>(66+23)/0.8</f>
        <v>111.25</v>
      </c>
      <c r="J8" s="26">
        <f>791/0.8</f>
        <v>988.75</v>
      </c>
      <c r="K8" s="80">
        <v>180</v>
      </c>
      <c r="L8" s="103">
        <f>80*60*1.1/2</f>
        <v>2640</v>
      </c>
      <c r="M8" s="80">
        <v>180</v>
      </c>
      <c r="N8" s="80">
        <f t="shared" si="0"/>
        <v>5360</v>
      </c>
      <c r="O8" s="109">
        <v>34.299999999999997</v>
      </c>
      <c r="P8" s="81">
        <f t="shared" ref="P8:P10" si="11">ROUND((O8*N8/3600)*1.05,2)</f>
        <v>53.62</v>
      </c>
      <c r="Q8" s="179">
        <v>1519</v>
      </c>
      <c r="R8" s="109">
        <v>162.80000000000001</v>
      </c>
      <c r="S8" s="81">
        <f t="shared" ref="S8:S10" si="12">ROUND((R8*Q8/3600)*1.05,2)</f>
        <v>72.13</v>
      </c>
      <c r="T8" s="108">
        <f t="shared" si="3"/>
        <v>125.75</v>
      </c>
      <c r="U8" s="23">
        <f t="shared" si="4"/>
        <v>500</v>
      </c>
      <c r="V8" s="113">
        <v>3193.4217230308</v>
      </c>
      <c r="W8" s="140">
        <f>V8*0.004</f>
        <v>12.7736868921232</v>
      </c>
      <c r="X8" s="140">
        <f>ROUNDUP(P8*1,2)</f>
        <v>53.62</v>
      </c>
      <c r="Y8" s="140">
        <f>ROUNDUP(P8*1.2,2)</f>
        <v>64.349999999999994</v>
      </c>
      <c r="Z8" s="163">
        <f t="shared" si="6"/>
        <v>256.5</v>
      </c>
      <c r="AA8" s="208">
        <v>5095</v>
      </c>
      <c r="AB8" s="209"/>
    </row>
    <row r="9" spans="1:29" s="2" customFormat="1" ht="19.05" customHeight="1" x14ac:dyDescent="0.25">
      <c r="A9" s="20">
        <v>45741</v>
      </c>
      <c r="B9" s="71" t="s">
        <v>42</v>
      </c>
      <c r="C9" s="56" t="s">
        <v>43</v>
      </c>
      <c r="D9" s="29" t="s">
        <v>44</v>
      </c>
      <c r="E9" s="64">
        <v>1</v>
      </c>
      <c r="F9" s="23">
        <v>2000</v>
      </c>
      <c r="G9" s="26">
        <f>953/0.8</f>
        <v>1191.25</v>
      </c>
      <c r="H9" s="26">
        <f>0/$H$1</f>
        <v>0</v>
      </c>
      <c r="I9" s="26">
        <f>(60+23)/0.8</f>
        <v>103.75</v>
      </c>
      <c r="J9" s="26">
        <f>571/0.8</f>
        <v>713.75</v>
      </c>
      <c r="K9" s="80">
        <v>180</v>
      </c>
      <c r="L9" s="103">
        <f>66*60*1.1/3</f>
        <v>1452</v>
      </c>
      <c r="M9" s="80">
        <v>180</v>
      </c>
      <c r="N9" s="80">
        <f t="shared" si="0"/>
        <v>3820.75</v>
      </c>
      <c r="O9" s="109">
        <v>34.299999999999997</v>
      </c>
      <c r="P9" s="81">
        <f t="shared" si="11"/>
        <v>38.22</v>
      </c>
      <c r="Q9" s="179">
        <v>1439</v>
      </c>
      <c r="R9" s="81">
        <v>162.80000000000001</v>
      </c>
      <c r="S9" s="81">
        <f t="shared" si="12"/>
        <v>68.33</v>
      </c>
      <c r="T9" s="108">
        <f t="shared" si="3"/>
        <v>106.55</v>
      </c>
      <c r="U9" s="23">
        <f t="shared" si="4"/>
        <v>2000</v>
      </c>
      <c r="V9" s="113">
        <v>1988</v>
      </c>
      <c r="W9" s="136">
        <f t="shared" si="8"/>
        <v>3.976</v>
      </c>
      <c r="X9" s="136">
        <f t="shared" si="9"/>
        <v>30.58</v>
      </c>
      <c r="Y9" s="136">
        <f t="shared" si="10"/>
        <v>34.4</v>
      </c>
      <c r="Z9" s="163">
        <f t="shared" si="6"/>
        <v>175.51</v>
      </c>
      <c r="AA9" s="121">
        <v>4914</v>
      </c>
      <c r="AB9" s="209"/>
    </row>
    <row r="10" spans="1:29" s="2" customFormat="1" ht="19.05" customHeight="1" x14ac:dyDescent="0.25">
      <c r="A10" s="20">
        <v>45741</v>
      </c>
      <c r="B10" s="56" t="s">
        <v>45</v>
      </c>
      <c r="C10" s="56" t="s">
        <v>46</v>
      </c>
      <c r="D10" s="22" t="s">
        <v>47</v>
      </c>
      <c r="E10" s="64">
        <v>1</v>
      </c>
      <c r="F10" s="23">
        <v>500</v>
      </c>
      <c r="G10" s="26">
        <f>1069.6/0.8</f>
        <v>1337</v>
      </c>
      <c r="H10" s="26">
        <f>800/0.95</f>
        <v>842.10526315789502</v>
      </c>
      <c r="I10" s="26">
        <f t="shared" si="7"/>
        <v>28.75</v>
      </c>
      <c r="J10" s="26">
        <f>618/J$1</f>
        <v>772.5</v>
      </c>
      <c r="K10" s="80">
        <v>198</v>
      </c>
      <c r="L10" s="79">
        <v>1887</v>
      </c>
      <c r="M10" s="80">
        <v>180</v>
      </c>
      <c r="N10" s="80">
        <f t="shared" si="0"/>
        <v>5245.3552631578996</v>
      </c>
      <c r="O10" s="81">
        <v>34.299999999999997</v>
      </c>
      <c r="P10" s="81">
        <f t="shared" si="11"/>
        <v>52.48</v>
      </c>
      <c r="Q10" s="200">
        <v>1526.2</v>
      </c>
      <c r="R10" s="81">
        <v>162.80000000000001</v>
      </c>
      <c r="S10" s="81">
        <f t="shared" si="12"/>
        <v>72.47</v>
      </c>
      <c r="T10" s="108">
        <f t="shared" si="3"/>
        <v>124.95</v>
      </c>
      <c r="U10" s="23">
        <f t="shared" si="4"/>
        <v>500</v>
      </c>
      <c r="V10" s="109">
        <v>3784.6838742</v>
      </c>
      <c r="W10" s="201">
        <f>V10*0.004</f>
        <v>15.138735496800001</v>
      </c>
      <c r="X10" s="201">
        <f>ROUNDUP(P10*1.2,2)</f>
        <v>62.98</v>
      </c>
      <c r="Y10" s="201">
        <f>ROUNDUP(P10*1.5,2)</f>
        <v>78.72</v>
      </c>
      <c r="Z10" s="163">
        <f t="shared" si="6"/>
        <v>281.79000000000002</v>
      </c>
      <c r="AA10" s="208">
        <v>5273</v>
      </c>
      <c r="AB10" s="209"/>
    </row>
    <row r="11" spans="1:29" s="2" customFormat="1" ht="19.05" customHeight="1" x14ac:dyDescent="0.25">
      <c r="A11" s="20">
        <v>45766</v>
      </c>
      <c r="B11" s="21" t="s">
        <v>49</v>
      </c>
      <c r="C11" s="22" t="s">
        <v>50</v>
      </c>
      <c r="D11" s="29" t="s">
        <v>51</v>
      </c>
      <c r="E11" s="24">
        <v>1</v>
      </c>
      <c r="F11" s="23">
        <v>2000</v>
      </c>
      <c r="G11" s="26">
        <f>404/$G$1</f>
        <v>505</v>
      </c>
      <c r="H11" s="191">
        <f>560/0.95</f>
        <v>589.47368421052602</v>
      </c>
      <c r="I11" s="26">
        <f>(0)/I$1</f>
        <v>0</v>
      </c>
      <c r="J11" s="26">
        <f>270/$J$1</f>
        <v>337.5</v>
      </c>
      <c r="K11" s="80">
        <v>86</v>
      </c>
      <c r="L11" s="197">
        <v>393.506666666667</v>
      </c>
      <c r="M11" s="80">
        <v>90</v>
      </c>
      <c r="N11" s="80">
        <f t="shared" si="0"/>
        <v>2001.4803508771899</v>
      </c>
      <c r="O11" s="81">
        <v>34.299999999999997</v>
      </c>
      <c r="P11" s="81">
        <f t="shared" ref="P11:P19" si="13">ROUND((O11*N11/3600)*$P$1,2)</f>
        <v>19.45</v>
      </c>
      <c r="Q11" s="177">
        <v>677</v>
      </c>
      <c r="R11" s="26">
        <v>162.80000000000001</v>
      </c>
      <c r="S11" s="81">
        <f t="shared" ref="S11:S19" si="14">ROUND((R11*Q11/3600)*$S$1,2)</f>
        <v>31.23</v>
      </c>
      <c r="T11" s="108">
        <f t="shared" si="3"/>
        <v>50.68</v>
      </c>
      <c r="U11" s="23">
        <v>1000</v>
      </c>
      <c r="V11" s="202">
        <f>626</f>
        <v>626</v>
      </c>
      <c r="W11" s="110">
        <f t="shared" ref="W11:W23" si="15">V11*$W$1</f>
        <v>1.252</v>
      </c>
      <c r="X11" s="112">
        <f t="shared" ref="X11:X20" si="16">ROUNDUP(P11*$X$1,2)</f>
        <v>15.56</v>
      </c>
      <c r="Y11" s="148">
        <f t="shared" ref="Y11:Y20" si="17">ROUNDUP(P11*$Y$1,2)</f>
        <v>17.510000000000002</v>
      </c>
      <c r="Z11" s="109">
        <f t="shared" si="6"/>
        <v>85.01</v>
      </c>
      <c r="AA11" s="210">
        <v>2583</v>
      </c>
      <c r="AB11" s="149"/>
      <c r="AC11" s="211"/>
    </row>
    <row r="12" spans="1:29" s="2" customFormat="1" ht="19.05" customHeight="1" x14ac:dyDescent="0.25">
      <c r="A12" s="20">
        <v>45766</v>
      </c>
      <c r="B12" s="21" t="s">
        <v>52</v>
      </c>
      <c r="C12" s="22" t="s">
        <v>53</v>
      </c>
      <c r="D12" s="29" t="s">
        <v>54</v>
      </c>
      <c r="E12" s="24">
        <v>1</v>
      </c>
      <c r="F12" s="23">
        <v>3500</v>
      </c>
      <c r="G12" s="26">
        <f>604.128/$G$1</f>
        <v>755.16</v>
      </c>
      <c r="H12" s="26">
        <f>640/$H$1</f>
        <v>800</v>
      </c>
      <c r="I12" s="26">
        <f>(0)/I$1</f>
        <v>0</v>
      </c>
      <c r="J12" s="26">
        <f>341.4/$J$1</f>
        <v>426.75</v>
      </c>
      <c r="K12" s="80">
        <v>90</v>
      </c>
      <c r="L12" s="79">
        <v>539.48888888888905</v>
      </c>
      <c r="M12" s="80">
        <v>90</v>
      </c>
      <c r="N12" s="80">
        <f t="shared" si="0"/>
        <v>2701.3988888888898</v>
      </c>
      <c r="O12" s="81">
        <v>34.299999999999997</v>
      </c>
      <c r="P12" s="81">
        <f t="shared" si="13"/>
        <v>26.25</v>
      </c>
      <c r="Q12" s="177">
        <v>989.80799999999999</v>
      </c>
      <c r="R12" s="26">
        <v>162.80000000000001</v>
      </c>
      <c r="S12" s="81">
        <f t="shared" si="14"/>
        <v>45.66</v>
      </c>
      <c r="T12" s="108">
        <f t="shared" si="3"/>
        <v>71.91</v>
      </c>
      <c r="U12" s="23">
        <v>4500</v>
      </c>
      <c r="V12" s="202">
        <v>895.35442005599998</v>
      </c>
      <c r="W12" s="110">
        <f t="shared" si="15"/>
        <v>1.7907088401119999</v>
      </c>
      <c r="X12" s="112">
        <f t="shared" si="16"/>
        <v>21</v>
      </c>
      <c r="Y12" s="148">
        <f t="shared" si="17"/>
        <v>23.63</v>
      </c>
      <c r="Z12" s="109">
        <f t="shared" si="6"/>
        <v>118.34</v>
      </c>
      <c r="AA12" s="210">
        <v>3655</v>
      </c>
      <c r="AB12" s="149"/>
      <c r="AC12" s="211"/>
    </row>
    <row r="13" spans="1:29" s="2" customFormat="1" ht="19.05" customHeight="1" x14ac:dyDescent="0.25">
      <c r="A13" s="20">
        <v>45766</v>
      </c>
      <c r="B13" s="21" t="s">
        <v>55</v>
      </c>
      <c r="C13" s="22" t="s">
        <v>56</v>
      </c>
      <c r="D13" s="29" t="s">
        <v>57</v>
      </c>
      <c r="E13" s="24">
        <v>1</v>
      </c>
      <c r="F13" s="23">
        <v>8000</v>
      </c>
      <c r="G13" s="26">
        <f>652.5/G$1</f>
        <v>815.625</v>
      </c>
      <c r="H13" s="26">
        <f>600/$I$1</f>
        <v>750</v>
      </c>
      <c r="I13" s="26">
        <f>(65+23)/I$1</f>
        <v>110</v>
      </c>
      <c r="J13" s="26">
        <f>623.31/J$1</f>
        <v>779.13750000000005</v>
      </c>
      <c r="K13" s="80">
        <v>213.75200000000001</v>
      </c>
      <c r="L13" s="79">
        <v>1270.5</v>
      </c>
      <c r="M13" s="80">
        <v>180</v>
      </c>
      <c r="N13" s="80">
        <f t="shared" si="0"/>
        <v>4119.0145000000002</v>
      </c>
      <c r="O13" s="81">
        <v>34.299999999999997</v>
      </c>
      <c r="P13" s="81">
        <f>ROUND((O13*N13/3600)*1.02,2)</f>
        <v>40.03</v>
      </c>
      <c r="Q13" s="177">
        <v>1250.682</v>
      </c>
      <c r="R13" s="26">
        <v>162.80000000000001</v>
      </c>
      <c r="S13" s="81">
        <f>ROUND((R13*Q13/3600)*1.02,2)</f>
        <v>57.69</v>
      </c>
      <c r="T13" s="108">
        <f t="shared" si="3"/>
        <v>97.72</v>
      </c>
      <c r="U13" s="23">
        <v>3000</v>
      </c>
      <c r="V13" s="113">
        <f>1531.076297</f>
        <v>1531.0762970000001</v>
      </c>
      <c r="W13" s="110">
        <f t="shared" si="15"/>
        <v>3.0621525940000001</v>
      </c>
      <c r="X13" s="112">
        <f>ROUNDUP(P13*0.6,2)</f>
        <v>24.02</v>
      </c>
      <c r="Y13" s="112">
        <f>ROUNDUP(P13*0.6,2)</f>
        <v>24.02</v>
      </c>
      <c r="Z13" s="109">
        <f t="shared" si="6"/>
        <v>148.83000000000001</v>
      </c>
      <c r="AA13" s="210">
        <v>4060</v>
      </c>
      <c r="AB13" s="149"/>
      <c r="AC13" s="147"/>
    </row>
    <row r="14" spans="1:29" s="2" customFormat="1" ht="19.05" customHeight="1" x14ac:dyDescent="0.25">
      <c r="A14" s="20">
        <v>45766</v>
      </c>
      <c r="B14" s="21" t="s">
        <v>58</v>
      </c>
      <c r="C14" s="22" t="s">
        <v>59</v>
      </c>
      <c r="D14" s="42" t="s">
        <v>60</v>
      </c>
      <c r="E14" s="28">
        <v>1</v>
      </c>
      <c r="F14" s="23">
        <v>13000</v>
      </c>
      <c r="G14" s="26">
        <f>1002/G$1</f>
        <v>1252.5</v>
      </c>
      <c r="H14" s="26">
        <f>713/0.8</f>
        <v>891.25</v>
      </c>
      <c r="I14" s="26">
        <f>(55+23)/I$1</f>
        <v>97.5</v>
      </c>
      <c r="J14" s="26">
        <f>660/J$1</f>
        <v>825</v>
      </c>
      <c r="K14" s="80">
        <v>212</v>
      </c>
      <c r="L14" s="79">
        <v>904.2</v>
      </c>
      <c r="M14" s="80">
        <v>180</v>
      </c>
      <c r="N14" s="80">
        <f t="shared" si="0"/>
        <v>4362.45</v>
      </c>
      <c r="O14" s="81">
        <v>34.299999999999997</v>
      </c>
      <c r="P14" s="81">
        <f>ROUND((O14*N14/3600)*1.02,2)</f>
        <v>42.4</v>
      </c>
      <c r="Q14" s="200">
        <v>1684.6</v>
      </c>
      <c r="R14" s="26">
        <v>162.80000000000001</v>
      </c>
      <c r="S14" s="81">
        <f>ROUND((R14*Q14/3600)*1.02,2)</f>
        <v>77.7</v>
      </c>
      <c r="T14" s="108">
        <f t="shared" si="3"/>
        <v>120.1</v>
      </c>
      <c r="U14" s="23">
        <v>11000</v>
      </c>
      <c r="V14" s="135">
        <f>2093.59135626</f>
        <v>2093.5913562599999</v>
      </c>
      <c r="W14" s="110">
        <f t="shared" si="15"/>
        <v>4.1871827125200003</v>
      </c>
      <c r="X14" s="121">
        <f>ROUNDUP(P14*0.6,2)</f>
        <v>25.44</v>
      </c>
      <c r="Y14" s="121">
        <f>ROUNDUP(P14*0.6,2)</f>
        <v>25.44</v>
      </c>
      <c r="Z14" s="109">
        <f t="shared" si="6"/>
        <v>175.17</v>
      </c>
      <c r="AA14" s="210">
        <v>5500</v>
      </c>
      <c r="AB14" s="149"/>
      <c r="AC14" s="211"/>
    </row>
    <row r="15" spans="1:29" s="2" customFormat="1" ht="19.05" customHeight="1" x14ac:dyDescent="0.3">
      <c r="A15" s="20">
        <v>45766</v>
      </c>
      <c r="B15" s="21" t="s">
        <v>61</v>
      </c>
      <c r="C15" s="22" t="s">
        <v>62</v>
      </c>
      <c r="D15" s="172" t="s">
        <v>63</v>
      </c>
      <c r="E15" s="24">
        <v>1</v>
      </c>
      <c r="F15" s="23">
        <v>1500</v>
      </c>
      <c r="G15" s="26">
        <f>711.2/G$1</f>
        <v>889</v>
      </c>
      <c r="H15" s="26">
        <f>665.5/H$1</f>
        <v>831.875</v>
      </c>
      <c r="I15" s="26">
        <f>(40+23)/I$1</f>
        <v>78.75</v>
      </c>
      <c r="J15" s="26">
        <f>509.52/J$1</f>
        <v>636.9</v>
      </c>
      <c r="K15" s="80">
        <v>162</v>
      </c>
      <c r="L15" s="79">
        <f>1001.55*1.2</f>
        <v>1201.8599999999999</v>
      </c>
      <c r="M15" s="80">
        <v>180</v>
      </c>
      <c r="N15" s="80">
        <f t="shared" si="0"/>
        <v>3980.3850000000002</v>
      </c>
      <c r="O15" s="81">
        <v>34.299999999999997</v>
      </c>
      <c r="P15" s="81">
        <f>ROUND((O15*N15/3600)*1.05,2)</f>
        <v>39.82</v>
      </c>
      <c r="Q15" s="200">
        <v>1273.5</v>
      </c>
      <c r="R15" s="26">
        <v>162.80000000000001</v>
      </c>
      <c r="S15" s="81">
        <f>ROUND((R15*Q15/3600)*1.05,2)</f>
        <v>60.47</v>
      </c>
      <c r="T15" s="108">
        <f t="shared" si="3"/>
        <v>100.29</v>
      </c>
      <c r="U15" s="23">
        <v>2500</v>
      </c>
      <c r="V15" s="135">
        <f>1467.1741686</f>
        <v>1467.1741686</v>
      </c>
      <c r="W15" s="110">
        <f t="shared" si="15"/>
        <v>2.9343483371999999</v>
      </c>
      <c r="X15" s="121">
        <f>ROUNDUP(P15*0.8,2)</f>
        <v>31.86</v>
      </c>
      <c r="Y15" s="121">
        <f>ROUNDUP(P15*0.9,2)</f>
        <v>35.840000000000003</v>
      </c>
      <c r="Z15" s="109">
        <f t="shared" si="6"/>
        <v>170.93</v>
      </c>
      <c r="AA15" s="210">
        <v>4064</v>
      </c>
      <c r="AB15" s="162"/>
      <c r="AC15" s="3"/>
    </row>
    <row r="16" spans="1:29" s="2" customFormat="1" ht="19.05" customHeight="1" x14ac:dyDescent="0.25">
      <c r="A16" s="20">
        <v>45766</v>
      </c>
      <c r="B16" s="21" t="s">
        <v>64</v>
      </c>
      <c r="C16" s="22" t="s">
        <v>65</v>
      </c>
      <c r="D16" s="29" t="s">
        <v>66</v>
      </c>
      <c r="E16" s="24">
        <v>1</v>
      </c>
      <c r="F16" s="23">
        <v>5000</v>
      </c>
      <c r="G16" s="26">
        <f>832/$G$1</f>
        <v>1040</v>
      </c>
      <c r="H16" s="191">
        <f>573.75/0.95</f>
        <v>603.94736842105306</v>
      </c>
      <c r="I16" s="26">
        <f>(55+23)/I$1</f>
        <v>97.5</v>
      </c>
      <c r="J16" s="26">
        <f>750.75/$J$1</f>
        <v>938.4375</v>
      </c>
      <c r="K16" s="80">
        <v>101</v>
      </c>
      <c r="L16" s="79">
        <v>1417.5</v>
      </c>
      <c r="M16" s="80">
        <v>180</v>
      </c>
      <c r="N16" s="80">
        <f t="shared" si="0"/>
        <v>4378.3848684210498</v>
      </c>
      <c r="O16" s="81">
        <v>34.299999999999997</v>
      </c>
      <c r="P16" s="81">
        <f t="shared" si="13"/>
        <v>42.55</v>
      </c>
      <c r="Q16" s="177">
        <v>1386.9</v>
      </c>
      <c r="R16" s="26">
        <v>162.80000000000001</v>
      </c>
      <c r="S16" s="81">
        <f t="shared" si="14"/>
        <v>63.97</v>
      </c>
      <c r="T16" s="108">
        <f t="shared" si="3"/>
        <v>106.52</v>
      </c>
      <c r="U16" s="23">
        <v>2000</v>
      </c>
      <c r="V16" s="202">
        <f>2600</f>
        <v>2600</v>
      </c>
      <c r="W16" s="110">
        <f t="shared" si="15"/>
        <v>5.2</v>
      </c>
      <c r="X16" s="112">
        <f t="shared" si="16"/>
        <v>34.04</v>
      </c>
      <c r="Y16" s="148">
        <f t="shared" si="17"/>
        <v>38.299999999999997</v>
      </c>
      <c r="Z16" s="109">
        <f t="shared" si="6"/>
        <v>184.06</v>
      </c>
      <c r="AA16" s="210"/>
      <c r="AB16" s="149"/>
      <c r="AC16" s="211"/>
    </row>
    <row r="17" spans="1:30" s="2" customFormat="1" ht="19.05" customHeight="1" x14ac:dyDescent="0.25">
      <c r="A17" s="20">
        <v>45766</v>
      </c>
      <c r="B17" s="21" t="s">
        <v>67</v>
      </c>
      <c r="C17" s="22" t="s">
        <v>68</v>
      </c>
      <c r="D17" s="29" t="s">
        <v>69</v>
      </c>
      <c r="E17" s="24">
        <v>1</v>
      </c>
      <c r="F17" s="23">
        <v>1500</v>
      </c>
      <c r="G17" s="26">
        <f>876.2/$G$1</f>
        <v>1095.25</v>
      </c>
      <c r="H17" s="191">
        <f>637.5/0.95</f>
        <v>671.05263157894694</v>
      </c>
      <c r="I17" s="26">
        <f t="shared" ref="I17:I19" si="18">(23+55)/I$1</f>
        <v>97.5</v>
      </c>
      <c r="J17" s="26">
        <f>752.5/$J$1</f>
        <v>940.625</v>
      </c>
      <c r="K17" s="80">
        <v>202</v>
      </c>
      <c r="L17" s="79">
        <v>2006.2777777777801</v>
      </c>
      <c r="M17" s="80">
        <v>180</v>
      </c>
      <c r="N17" s="80">
        <f t="shared" si="0"/>
        <v>5192.7054093567303</v>
      </c>
      <c r="O17" s="81">
        <v>34.299999999999997</v>
      </c>
      <c r="P17" s="81">
        <f t="shared" si="13"/>
        <v>50.46</v>
      </c>
      <c r="Q17" s="177">
        <v>1467.55</v>
      </c>
      <c r="R17" s="26">
        <v>162.80000000000001</v>
      </c>
      <c r="S17" s="81">
        <f t="shared" si="14"/>
        <v>67.69</v>
      </c>
      <c r="T17" s="108">
        <f t="shared" si="3"/>
        <v>118.15</v>
      </c>
      <c r="U17" s="23">
        <v>1050</v>
      </c>
      <c r="V17" s="202">
        <f>2580</f>
        <v>2580</v>
      </c>
      <c r="W17" s="110">
        <f t="shared" si="15"/>
        <v>5.16</v>
      </c>
      <c r="X17" s="112">
        <f t="shared" si="16"/>
        <v>40.369999999999997</v>
      </c>
      <c r="Y17" s="148">
        <f t="shared" si="17"/>
        <v>45.42</v>
      </c>
      <c r="Z17" s="109">
        <f t="shared" si="6"/>
        <v>209.1</v>
      </c>
      <c r="AA17" s="210"/>
      <c r="AB17" s="149"/>
      <c r="AC17" s="211"/>
    </row>
    <row r="18" spans="1:30" s="2" customFormat="1" ht="19.05" customHeight="1" x14ac:dyDescent="0.25">
      <c r="A18" s="20">
        <v>45766</v>
      </c>
      <c r="B18" s="21" t="s">
        <v>70</v>
      </c>
      <c r="C18" s="22" t="s">
        <v>71</v>
      </c>
      <c r="D18" s="29" t="s">
        <v>72</v>
      </c>
      <c r="E18" s="24">
        <v>1</v>
      </c>
      <c r="F18" s="23">
        <v>2000</v>
      </c>
      <c r="G18" s="26">
        <f>823.5/$G$1</f>
        <v>1029.375</v>
      </c>
      <c r="H18" s="27">
        <f>578.57/0.95</f>
        <v>609.02105263157898</v>
      </c>
      <c r="I18" s="26">
        <f t="shared" si="18"/>
        <v>97.5</v>
      </c>
      <c r="J18" s="26">
        <f>717/$J$1</f>
        <v>896.25</v>
      </c>
      <c r="K18" s="80">
        <v>155.4</v>
      </c>
      <c r="L18" s="198">
        <v>1633.28</v>
      </c>
      <c r="M18" s="80">
        <v>180</v>
      </c>
      <c r="N18" s="80">
        <f t="shared" si="0"/>
        <v>4600.8260526315798</v>
      </c>
      <c r="O18" s="81">
        <v>34.299999999999997</v>
      </c>
      <c r="P18" s="81">
        <f t="shared" si="13"/>
        <v>44.71</v>
      </c>
      <c r="Q18" s="177">
        <v>1329.88571428571</v>
      </c>
      <c r="R18" s="26">
        <v>162.80000000000001</v>
      </c>
      <c r="S18" s="81">
        <f t="shared" si="14"/>
        <v>61.34</v>
      </c>
      <c r="T18" s="108">
        <f t="shared" si="3"/>
        <v>106.05</v>
      </c>
      <c r="U18" s="23">
        <v>2200</v>
      </c>
      <c r="V18" s="202">
        <f>3200</f>
        <v>3200</v>
      </c>
      <c r="W18" s="110">
        <f t="shared" si="15"/>
        <v>6.4</v>
      </c>
      <c r="X18" s="112">
        <f t="shared" si="16"/>
        <v>35.770000000000003</v>
      </c>
      <c r="Y18" s="148">
        <f t="shared" si="17"/>
        <v>40.24</v>
      </c>
      <c r="Z18" s="109">
        <f t="shared" si="6"/>
        <v>188.46</v>
      </c>
      <c r="AA18" s="210"/>
      <c r="AB18" s="149"/>
      <c r="AC18" s="211"/>
    </row>
    <row r="19" spans="1:30" s="2" customFormat="1" ht="19.05" customHeight="1" x14ac:dyDescent="0.25">
      <c r="A19" s="20">
        <v>45766</v>
      </c>
      <c r="B19" s="21" t="s">
        <v>73</v>
      </c>
      <c r="C19" s="22" t="s">
        <v>74</v>
      </c>
      <c r="D19" s="29" t="s">
        <v>72</v>
      </c>
      <c r="E19" s="24">
        <v>1</v>
      </c>
      <c r="F19" s="23">
        <v>2000</v>
      </c>
      <c r="G19" s="26">
        <f>823.5/$G$1</f>
        <v>1029.375</v>
      </c>
      <c r="H19" s="27">
        <f>578.57/0.95</f>
        <v>609.02105263157898</v>
      </c>
      <c r="I19" s="26">
        <f t="shared" si="18"/>
        <v>97.5</v>
      </c>
      <c r="J19" s="26">
        <f>717/$J$1</f>
        <v>896.25</v>
      </c>
      <c r="K19" s="80">
        <v>155.4</v>
      </c>
      <c r="L19" s="198">
        <v>1489.6444444444501</v>
      </c>
      <c r="M19" s="80">
        <v>180</v>
      </c>
      <c r="N19" s="80">
        <f t="shared" si="0"/>
        <v>4457.1904970760297</v>
      </c>
      <c r="O19" s="81">
        <v>34.299999999999997</v>
      </c>
      <c r="P19" s="81">
        <f t="shared" si="13"/>
        <v>43.32</v>
      </c>
      <c r="Q19" s="177">
        <v>1329.88571428571</v>
      </c>
      <c r="R19" s="26">
        <v>162.80000000000001</v>
      </c>
      <c r="S19" s="81">
        <f t="shared" si="14"/>
        <v>61.34</v>
      </c>
      <c r="T19" s="108">
        <f t="shared" si="3"/>
        <v>104.66</v>
      </c>
      <c r="U19" s="23">
        <v>1700</v>
      </c>
      <c r="V19" s="202">
        <f>3200</f>
        <v>3200</v>
      </c>
      <c r="W19" s="110">
        <f t="shared" si="15"/>
        <v>6.4</v>
      </c>
      <c r="X19" s="112">
        <f t="shared" si="16"/>
        <v>34.659999999999997</v>
      </c>
      <c r="Y19" s="148">
        <f t="shared" si="17"/>
        <v>38.99</v>
      </c>
      <c r="Z19" s="109">
        <f t="shared" si="6"/>
        <v>184.71</v>
      </c>
      <c r="AA19" s="210"/>
      <c r="AB19" s="149"/>
      <c r="AC19" s="211"/>
    </row>
    <row r="20" spans="1:30" s="2" customFormat="1" ht="19.05" customHeight="1" x14ac:dyDescent="0.25">
      <c r="A20" s="20">
        <v>45766</v>
      </c>
      <c r="B20" s="21" t="s">
        <v>75</v>
      </c>
      <c r="C20" s="192" t="s">
        <v>76</v>
      </c>
      <c r="D20" s="22" t="s">
        <v>77</v>
      </c>
      <c r="E20" s="24">
        <v>1</v>
      </c>
      <c r="F20" s="23">
        <v>1000</v>
      </c>
      <c r="G20" s="26">
        <f>967.14/G$1</f>
        <v>1208.925</v>
      </c>
      <c r="H20" s="26">
        <f>750/0.95</f>
        <v>789.47368421052602</v>
      </c>
      <c r="I20" s="26">
        <f>23/I$1</f>
        <v>28.75</v>
      </c>
      <c r="J20" s="26">
        <f>618/J$1</f>
        <v>772.5</v>
      </c>
      <c r="K20" s="80">
        <v>180</v>
      </c>
      <c r="L20" s="79">
        <f>1611.5*1.1</f>
        <v>1772.65</v>
      </c>
      <c r="M20" s="80">
        <v>180</v>
      </c>
      <c r="N20" s="80">
        <f t="shared" si="0"/>
        <v>4932.2986842105302</v>
      </c>
      <c r="O20" s="81">
        <v>34.299999999999997</v>
      </c>
      <c r="P20" s="81">
        <f t="shared" ref="P20:P23" si="19">ROUND((O20*N20/3600)*1.02,2)</f>
        <v>47.93</v>
      </c>
      <c r="Q20" s="200">
        <v>1578.72</v>
      </c>
      <c r="R20" s="26">
        <v>162.80000000000001</v>
      </c>
      <c r="S20" s="81">
        <f t="shared" ref="S20:S23" si="20">ROUND((R20*Q20/3600)*1.02,2)</f>
        <v>72.819999999999993</v>
      </c>
      <c r="T20" s="108">
        <f t="shared" si="3"/>
        <v>120.75</v>
      </c>
      <c r="U20" s="23">
        <v>3900</v>
      </c>
      <c r="V20" s="135">
        <f>3607.9981906</f>
        <v>3607.9981905999998</v>
      </c>
      <c r="W20" s="110">
        <f t="shared" si="15"/>
        <v>7.2159963812000001</v>
      </c>
      <c r="X20" s="112">
        <f t="shared" si="16"/>
        <v>38.35</v>
      </c>
      <c r="Y20" s="148">
        <f t="shared" si="17"/>
        <v>43.14</v>
      </c>
      <c r="Z20" s="109">
        <f t="shared" si="6"/>
        <v>209.46</v>
      </c>
      <c r="AA20" s="113">
        <v>5038</v>
      </c>
      <c r="AB20" s="149"/>
      <c r="AC20" s="147"/>
    </row>
    <row r="21" spans="1:30" s="2" customFormat="1" ht="19.05" customHeight="1" x14ac:dyDescent="0.25">
      <c r="A21" s="20">
        <v>45766</v>
      </c>
      <c r="B21" s="21" t="s">
        <v>78</v>
      </c>
      <c r="C21" s="22" t="s">
        <v>78</v>
      </c>
      <c r="D21" s="29" t="s">
        <v>79</v>
      </c>
      <c r="E21" s="24">
        <v>1</v>
      </c>
      <c r="F21" s="23">
        <v>1000</v>
      </c>
      <c r="G21" s="26">
        <f>1067.35/G$1</f>
        <v>1334.1875</v>
      </c>
      <c r="H21" s="26">
        <f>980.57/0.8</f>
        <v>1225.7125000000001</v>
      </c>
      <c r="I21" s="26">
        <f>(23+0)/I$1</f>
        <v>28.75</v>
      </c>
      <c r="J21" s="26">
        <f>660/J$1</f>
        <v>825</v>
      </c>
      <c r="K21" s="80">
        <v>198</v>
      </c>
      <c r="L21" s="79">
        <v>2162.6</v>
      </c>
      <c r="M21" s="80">
        <v>180</v>
      </c>
      <c r="N21" s="80">
        <f t="shared" si="0"/>
        <v>5954.25</v>
      </c>
      <c r="O21" s="81">
        <v>34.299999999999997</v>
      </c>
      <c r="P21" s="81">
        <f t="shared" si="19"/>
        <v>57.87</v>
      </c>
      <c r="Q21" s="200">
        <v>1798.6771428571401</v>
      </c>
      <c r="R21" s="26">
        <v>162.80000000000001</v>
      </c>
      <c r="S21" s="81">
        <f t="shared" si="20"/>
        <v>82.97</v>
      </c>
      <c r="T21" s="108">
        <f t="shared" si="3"/>
        <v>140.84</v>
      </c>
      <c r="U21" s="23">
        <v>2800</v>
      </c>
      <c r="V21" s="135">
        <f>3498.449254</f>
        <v>3498.4492540000001</v>
      </c>
      <c r="W21" s="110">
        <f t="shared" si="15"/>
        <v>6.9968985080000001</v>
      </c>
      <c r="X21" s="120">
        <f>ROUNDUP(P21*0.8,2)</f>
        <v>46.3</v>
      </c>
      <c r="Y21" s="120">
        <f>ROUNDUP(P21*0.9,2)</f>
        <v>52.09</v>
      </c>
      <c r="Z21" s="109">
        <f t="shared" si="6"/>
        <v>246.23</v>
      </c>
      <c r="AA21" s="113"/>
      <c r="AB21" s="149"/>
      <c r="AC21" s="147"/>
    </row>
    <row r="22" spans="1:30" s="2" customFormat="1" ht="19.05" customHeight="1" x14ac:dyDescent="0.25">
      <c r="A22" s="20">
        <v>45766</v>
      </c>
      <c r="B22" s="21" t="s">
        <v>80</v>
      </c>
      <c r="C22" s="22" t="s">
        <v>81</v>
      </c>
      <c r="D22" s="29" t="s">
        <v>82</v>
      </c>
      <c r="E22" s="24">
        <v>1</v>
      </c>
      <c r="F22" s="23">
        <v>4000</v>
      </c>
      <c r="G22" s="26">
        <f>808/$G$1</f>
        <v>1010</v>
      </c>
      <c r="H22" s="26">
        <f>696/$H$1</f>
        <v>870</v>
      </c>
      <c r="I22" s="26">
        <f>(23+155)/I$1</f>
        <v>222.5</v>
      </c>
      <c r="J22" s="26">
        <f>960/$J$1</f>
        <v>1200</v>
      </c>
      <c r="K22" s="80">
        <v>184.8</v>
      </c>
      <c r="L22" s="79">
        <v>1181.5833333333301</v>
      </c>
      <c r="M22" s="80">
        <v>180</v>
      </c>
      <c r="N22" s="80">
        <f t="shared" si="0"/>
        <v>4848.8833333333296</v>
      </c>
      <c r="O22" s="81">
        <v>34.299999999999997</v>
      </c>
      <c r="P22" s="81">
        <f>ROUND((O22*N22/3600)*$P$1,2)</f>
        <v>47.12</v>
      </c>
      <c r="Q22" s="177">
        <v>1418</v>
      </c>
      <c r="R22" s="26">
        <v>162.80000000000001</v>
      </c>
      <c r="S22" s="81">
        <f>ROUND((R22*Q22/3600)*$S$1,2)</f>
        <v>65.41</v>
      </c>
      <c r="T22" s="108">
        <f t="shared" si="3"/>
        <v>112.53</v>
      </c>
      <c r="U22" s="23">
        <v>2996</v>
      </c>
      <c r="V22" s="203">
        <f>2780</f>
        <v>2780</v>
      </c>
      <c r="W22" s="110">
        <f t="shared" si="15"/>
        <v>5.56</v>
      </c>
      <c r="X22" s="112">
        <f>ROUNDUP(P22*$X$1,2)</f>
        <v>37.700000000000003</v>
      </c>
      <c r="Y22" s="148">
        <f>ROUNDUP(P22*$Y$1,2)</f>
        <v>42.41</v>
      </c>
      <c r="Z22" s="109">
        <f t="shared" si="6"/>
        <v>198.2</v>
      </c>
      <c r="AA22" s="210"/>
      <c r="AB22" s="149"/>
      <c r="AC22" s="211"/>
    </row>
    <row r="23" spans="1:30" s="2" customFormat="1" ht="19.05" customHeight="1" x14ac:dyDescent="0.25">
      <c r="A23" s="20">
        <v>45766</v>
      </c>
      <c r="B23" s="21" t="s">
        <v>83</v>
      </c>
      <c r="C23" s="22" t="s">
        <v>84</v>
      </c>
      <c r="D23" s="22" t="s">
        <v>85</v>
      </c>
      <c r="E23" s="24">
        <v>2</v>
      </c>
      <c r="F23" s="23">
        <v>1000</v>
      </c>
      <c r="G23" s="26">
        <f>385/G$1</f>
        <v>481.25</v>
      </c>
      <c r="H23" s="26">
        <f>336/H$1</f>
        <v>420</v>
      </c>
      <c r="I23" s="26">
        <f>33/I$1</f>
        <v>41.25</v>
      </c>
      <c r="J23" s="67">
        <f>330/J$1</f>
        <v>412.5</v>
      </c>
      <c r="K23" s="79">
        <v>50</v>
      </c>
      <c r="L23" s="89">
        <f>31*60*1.1/2</f>
        <v>1023</v>
      </c>
      <c r="M23" s="80">
        <v>180</v>
      </c>
      <c r="N23" s="80">
        <f t="shared" si="0"/>
        <v>2608</v>
      </c>
      <c r="O23" s="81">
        <v>34.299999999999997</v>
      </c>
      <c r="P23" s="81">
        <f t="shared" si="19"/>
        <v>25.35</v>
      </c>
      <c r="Q23" s="177">
        <v>614</v>
      </c>
      <c r="R23" s="26">
        <v>162.80000000000001</v>
      </c>
      <c r="S23" s="81">
        <f t="shared" si="20"/>
        <v>28.32</v>
      </c>
      <c r="T23" s="108">
        <f t="shared" si="3"/>
        <v>53.67</v>
      </c>
      <c r="U23" s="23">
        <v>1100</v>
      </c>
      <c r="V23" s="135">
        <f>296.06673212</f>
        <v>296.06673211999998</v>
      </c>
      <c r="W23" s="110">
        <f t="shared" si="15"/>
        <v>0.59213346424000002</v>
      </c>
      <c r="X23" s="120">
        <f>ROUNDUP(P23*0.8,2)</f>
        <v>20.28</v>
      </c>
      <c r="Y23" s="120">
        <f>ROUNDUP(P23*0.9,2)</f>
        <v>22.82</v>
      </c>
      <c r="Z23" s="109">
        <f t="shared" si="6"/>
        <v>97.37</v>
      </c>
      <c r="AA23" s="210"/>
      <c r="AB23" s="149"/>
      <c r="AC23" s="147"/>
      <c r="AD23" s="2">
        <f>1.2*100</f>
        <v>120</v>
      </c>
    </row>
    <row r="24" spans="1:30" s="2" customFormat="1" ht="19.05" customHeight="1" x14ac:dyDescent="0.25">
      <c r="A24" s="20">
        <v>45766</v>
      </c>
      <c r="B24" s="21" t="s">
        <v>86</v>
      </c>
      <c r="C24" s="193" t="s">
        <v>87</v>
      </c>
      <c r="D24" s="29" t="s">
        <v>88</v>
      </c>
      <c r="E24" s="24">
        <v>1</v>
      </c>
      <c r="F24" s="23">
        <v>500</v>
      </c>
      <c r="G24" s="26">
        <f>1406.61/G$1</f>
        <v>1758.2625</v>
      </c>
      <c r="H24" s="26">
        <f>971.52/$H$1</f>
        <v>1214.4000000000001</v>
      </c>
      <c r="I24" s="26">
        <f>(23)/I$1</f>
        <v>28.75</v>
      </c>
      <c r="J24" s="26">
        <f t="shared" ref="J24:J27" si="21">750/J$1</f>
        <v>937.5</v>
      </c>
      <c r="K24" s="80">
        <v>210</v>
      </c>
      <c r="L24" s="79">
        <f>50*1.1*60/2</f>
        <v>1650</v>
      </c>
      <c r="M24" s="80">
        <v>180</v>
      </c>
      <c r="N24" s="80">
        <f t="shared" si="0"/>
        <v>5978.9125000000004</v>
      </c>
      <c r="O24" s="81">
        <v>34.299999999999997</v>
      </c>
      <c r="P24" s="81">
        <f t="shared" ref="P24:P26" si="22">ROUND((O24*N24/3600)*1.05,2)</f>
        <v>59.81</v>
      </c>
      <c r="Q24" s="200">
        <v>2091.0700000000002</v>
      </c>
      <c r="R24" s="26">
        <v>162.80000000000001</v>
      </c>
      <c r="S24" s="81">
        <f t="shared" ref="S24:S26" si="23">ROUND((R24*Q24/3600)*1.05,2)</f>
        <v>99.29</v>
      </c>
      <c r="T24" s="108">
        <f t="shared" si="3"/>
        <v>159.1</v>
      </c>
      <c r="U24" s="23">
        <v>416</v>
      </c>
      <c r="V24" s="135">
        <f>4913.986878</f>
        <v>4913.9868779999997</v>
      </c>
      <c r="W24" s="126">
        <f>V24*0.4%</f>
        <v>19.655947512000001</v>
      </c>
      <c r="X24" s="134">
        <f t="shared" ref="X24:X29" si="24">ROUNDUP(P24*1.2,2)</f>
        <v>71.78</v>
      </c>
      <c r="Y24" s="134">
        <f t="shared" ref="Y24:Y29" si="25">ROUNDUP(P24*1.5,2)</f>
        <v>89.72</v>
      </c>
      <c r="Z24" s="109">
        <f t="shared" si="6"/>
        <v>340.26</v>
      </c>
      <c r="AA24" s="155">
        <v>6455</v>
      </c>
      <c r="AB24" s="147"/>
    </row>
    <row r="25" spans="1:30" s="2" customFormat="1" ht="19.05" customHeight="1" x14ac:dyDescent="0.25">
      <c r="A25" s="20">
        <v>45766</v>
      </c>
      <c r="B25" s="21" t="s">
        <v>89</v>
      </c>
      <c r="C25" s="22" t="s">
        <v>90</v>
      </c>
      <c r="D25" s="29" t="s">
        <v>88</v>
      </c>
      <c r="E25" s="24">
        <v>1</v>
      </c>
      <c r="F25" s="23">
        <v>500</v>
      </c>
      <c r="G25" s="26">
        <f>1170/G$1</f>
        <v>1462.5</v>
      </c>
      <c r="H25" s="26">
        <f>794.88/$H$1</f>
        <v>993.6</v>
      </c>
      <c r="I25" s="26">
        <f>(0+23)/I$1</f>
        <v>28.75</v>
      </c>
      <c r="J25" s="26">
        <f t="shared" si="21"/>
        <v>937.5</v>
      </c>
      <c r="K25" s="80">
        <v>180</v>
      </c>
      <c r="L25" s="79">
        <f>50*1.1*60/2</f>
        <v>1650</v>
      </c>
      <c r="M25" s="80">
        <v>180</v>
      </c>
      <c r="N25" s="80">
        <f t="shared" si="0"/>
        <v>5432.35</v>
      </c>
      <c r="O25" s="81">
        <v>34.299999999999997</v>
      </c>
      <c r="P25" s="81">
        <f t="shared" si="22"/>
        <v>54.35</v>
      </c>
      <c r="Q25" s="177">
        <v>2109.6</v>
      </c>
      <c r="R25" s="26">
        <v>162.80000000000001</v>
      </c>
      <c r="S25" s="81">
        <f t="shared" si="23"/>
        <v>100.17</v>
      </c>
      <c r="T25" s="108">
        <f t="shared" si="3"/>
        <v>154.52000000000001</v>
      </c>
      <c r="U25" s="23">
        <v>700</v>
      </c>
      <c r="V25" s="204">
        <f>4723.928152</f>
        <v>4723.9281520000004</v>
      </c>
      <c r="W25" s="126">
        <f>V25*0.4%</f>
        <v>18.895712608</v>
      </c>
      <c r="X25" s="134">
        <f>ROUNDUP(P25*1,2)</f>
        <v>54.35</v>
      </c>
      <c r="Y25" s="134">
        <f>ROUNDUP(P25*1.2,2)</f>
        <v>65.22</v>
      </c>
      <c r="Z25" s="109">
        <f t="shared" si="6"/>
        <v>292.99</v>
      </c>
      <c r="AA25" s="22">
        <v>6383</v>
      </c>
      <c r="AC25" s="147"/>
    </row>
    <row r="26" spans="1:30" s="2" customFormat="1" ht="19.05" customHeight="1" x14ac:dyDescent="0.25">
      <c r="A26" s="20">
        <v>45766</v>
      </c>
      <c r="B26" s="21" t="s">
        <v>91</v>
      </c>
      <c r="C26" s="192" t="s">
        <v>92</v>
      </c>
      <c r="D26" s="23" t="s">
        <v>93</v>
      </c>
      <c r="E26" s="64">
        <v>1</v>
      </c>
      <c r="F26" s="23">
        <v>500</v>
      </c>
      <c r="G26" s="26">
        <f>536.4/G$1</f>
        <v>670.5</v>
      </c>
      <c r="H26" s="26">
        <f>616/0.95</f>
        <v>648.42105263157896</v>
      </c>
      <c r="I26" s="26">
        <f>(0)/I$1</f>
        <v>0</v>
      </c>
      <c r="J26" s="26">
        <f>350/J$1</f>
        <v>437.5</v>
      </c>
      <c r="K26" s="80">
        <v>86</v>
      </c>
      <c r="L26" s="99">
        <f>50*1.1*60/3</f>
        <v>1100</v>
      </c>
      <c r="M26" s="80">
        <v>90</v>
      </c>
      <c r="N26" s="80">
        <f t="shared" si="0"/>
        <v>3032.4210526315801</v>
      </c>
      <c r="O26" s="81">
        <v>34.299999999999997</v>
      </c>
      <c r="P26" s="81">
        <f t="shared" si="22"/>
        <v>30.34</v>
      </c>
      <c r="Q26" s="177">
        <v>839.2</v>
      </c>
      <c r="R26" s="26">
        <v>162.80000000000001</v>
      </c>
      <c r="S26" s="81">
        <f t="shared" si="23"/>
        <v>39.85</v>
      </c>
      <c r="T26" s="108">
        <f t="shared" si="3"/>
        <v>70.19</v>
      </c>
      <c r="U26" s="23">
        <v>2600</v>
      </c>
      <c r="V26" s="135">
        <f>1100</f>
        <v>1100</v>
      </c>
      <c r="W26" s="110">
        <f>V26*$W$1</f>
        <v>2.2000000000000002</v>
      </c>
      <c r="X26" s="121">
        <f t="shared" si="24"/>
        <v>36.409999999999997</v>
      </c>
      <c r="Y26" s="121">
        <f t="shared" si="25"/>
        <v>45.51</v>
      </c>
      <c r="Z26" s="109">
        <f t="shared" si="6"/>
        <v>154.31</v>
      </c>
      <c r="AA26" s="121">
        <v>3118</v>
      </c>
      <c r="AC26" s="147"/>
    </row>
    <row r="27" spans="1:30" s="3" customFormat="1" ht="19.05" customHeight="1" x14ac:dyDescent="0.3">
      <c r="A27" s="20">
        <v>45770</v>
      </c>
      <c r="B27" s="194" t="s">
        <v>94</v>
      </c>
      <c r="C27" s="22" t="s">
        <v>95</v>
      </c>
      <c r="D27" s="72" t="s">
        <v>96</v>
      </c>
      <c r="E27" s="24">
        <v>1</v>
      </c>
      <c r="F27" s="23">
        <v>2000</v>
      </c>
      <c r="G27" s="26">
        <f>785/G$1</f>
        <v>981.25</v>
      </c>
      <c r="H27" s="26">
        <f>697.71/$G$1</f>
        <v>872.13750000000005</v>
      </c>
      <c r="I27" s="26">
        <f>(0+23)/I$1</f>
        <v>28.75</v>
      </c>
      <c r="J27" s="26">
        <f t="shared" si="21"/>
        <v>937.5</v>
      </c>
      <c r="K27" s="80">
        <v>150</v>
      </c>
      <c r="L27" s="79">
        <f>45*1.1*60/2</f>
        <v>1485</v>
      </c>
      <c r="M27" s="80">
        <v>180</v>
      </c>
      <c r="N27" s="80">
        <f t="shared" si="0"/>
        <v>4634.6374999999998</v>
      </c>
      <c r="O27" s="81">
        <v>34.299999999999997</v>
      </c>
      <c r="P27" s="81">
        <f>ROUND((O27*N27/3600)*P1,2)</f>
        <v>45.04</v>
      </c>
      <c r="Q27" s="177">
        <v>1308.42857142857</v>
      </c>
      <c r="R27" s="81">
        <v>162.80000000000001</v>
      </c>
      <c r="S27" s="81">
        <f>ROUND((R27*Q27/3600)*S1,2)</f>
        <v>60.35</v>
      </c>
      <c r="T27" s="108">
        <f t="shared" si="3"/>
        <v>105.39</v>
      </c>
      <c r="U27" s="23">
        <f t="shared" ref="U27:U41" si="26">F27</f>
        <v>2000</v>
      </c>
      <c r="V27" s="113">
        <v>3038</v>
      </c>
      <c r="W27" s="110">
        <f>V27*W1</f>
        <v>6.0759999999999996</v>
      </c>
      <c r="X27" s="112">
        <f>ROUNDUP(P27*X1,2)</f>
        <v>36.04</v>
      </c>
      <c r="Y27" s="112">
        <f>ROUNDUP(P27*Y1,2)</f>
        <v>40.54</v>
      </c>
      <c r="Z27" s="163">
        <f t="shared" si="6"/>
        <v>188.05</v>
      </c>
      <c r="AA27" s="161">
        <v>4499</v>
      </c>
    </row>
    <row r="28" spans="1:30" s="3" customFormat="1" ht="19.05" customHeight="1" x14ac:dyDescent="0.3">
      <c r="A28" s="20">
        <v>45796</v>
      </c>
      <c r="B28" s="194" t="s">
        <v>97</v>
      </c>
      <c r="C28" s="22" t="s">
        <v>98</v>
      </c>
      <c r="D28" s="66" t="s">
        <v>99</v>
      </c>
      <c r="E28" s="64">
        <v>1</v>
      </c>
      <c r="F28" s="23">
        <v>1500</v>
      </c>
      <c r="G28" s="26">
        <f>441/G$1</f>
        <v>551.25</v>
      </c>
      <c r="H28" s="26">
        <f>840/0.8</f>
        <v>1050</v>
      </c>
      <c r="I28" s="26">
        <f>0/I$1</f>
        <v>0</v>
      </c>
      <c r="J28" s="67">
        <f>360/J$1</f>
        <v>450</v>
      </c>
      <c r="K28" s="79">
        <v>86</v>
      </c>
      <c r="L28" s="79">
        <f>45*60*1.1/2</f>
        <v>1485</v>
      </c>
      <c r="M28" s="80">
        <v>90</v>
      </c>
      <c r="N28" s="80">
        <f t="shared" si="0"/>
        <v>3712.25</v>
      </c>
      <c r="O28" s="81">
        <v>34.299999999999997</v>
      </c>
      <c r="P28" s="81">
        <f>ROUND((O28*N28/3600)*1.02,2)</f>
        <v>36.08</v>
      </c>
      <c r="Q28" s="177">
        <v>710.5</v>
      </c>
      <c r="R28" s="81">
        <v>162.80000000000001</v>
      </c>
      <c r="S28" s="81">
        <f>ROUND((R28*Q28/3600)*1.02,2)</f>
        <v>32.770000000000003</v>
      </c>
      <c r="T28" s="108">
        <f t="shared" si="3"/>
        <v>68.849999999999994</v>
      </c>
      <c r="U28" s="23">
        <f t="shared" si="26"/>
        <v>1500</v>
      </c>
      <c r="V28" s="184">
        <v>470.20496323999998</v>
      </c>
      <c r="W28" s="205">
        <f>V28*0.002</f>
        <v>0.94040992647999999</v>
      </c>
      <c r="X28" s="205">
        <f>ROUNDUP(P28*0.8,2)</f>
        <v>28.87</v>
      </c>
      <c r="Y28" s="205">
        <f>ROUNDUP(P28*0.9,2)</f>
        <v>32.479999999999997</v>
      </c>
      <c r="Z28" s="163">
        <f t="shared" si="6"/>
        <v>131.15</v>
      </c>
      <c r="AA28" s="161">
        <v>2858</v>
      </c>
      <c r="AB28" s="162"/>
    </row>
    <row r="29" spans="1:30" s="3" customFormat="1" ht="19.05" customHeight="1" x14ac:dyDescent="0.3">
      <c r="A29" s="195">
        <v>45804</v>
      </c>
      <c r="B29" s="194" t="s">
        <v>100</v>
      </c>
      <c r="C29" s="22" t="s">
        <v>101</v>
      </c>
      <c r="D29" s="66" t="s">
        <v>102</v>
      </c>
      <c r="E29" s="64">
        <v>1</v>
      </c>
      <c r="F29" s="23">
        <v>200</v>
      </c>
      <c r="G29" s="26">
        <f>774/G$1</f>
        <v>967.5</v>
      </c>
      <c r="H29" s="26">
        <f t="shared" ref="H29:H33" si="27">0/$G$1</f>
        <v>0</v>
      </c>
      <c r="I29" s="67">
        <f>23/I$1</f>
        <v>28.75</v>
      </c>
      <c r="J29" s="67">
        <f>915/J$1</f>
        <v>1143.75</v>
      </c>
      <c r="K29" s="80">
        <v>180</v>
      </c>
      <c r="L29" s="99">
        <f>45*1.1*60/2</f>
        <v>1485</v>
      </c>
      <c r="M29" s="80">
        <v>180</v>
      </c>
      <c r="N29" s="80">
        <f t="shared" si="0"/>
        <v>3985</v>
      </c>
      <c r="O29" s="81">
        <v>34.299999999999997</v>
      </c>
      <c r="P29" s="81">
        <f t="shared" ref="P29:P33" si="28">ROUND((O29*N29/3600)*1.05,2)</f>
        <v>39.869999999999997</v>
      </c>
      <c r="Q29" s="177">
        <v>1286</v>
      </c>
      <c r="R29" s="81">
        <v>162.80000000000001</v>
      </c>
      <c r="S29" s="81">
        <f t="shared" ref="S29:S33" si="29">ROUND((R29*Q29/3600)*1.05,2)</f>
        <v>61.06</v>
      </c>
      <c r="T29" s="108">
        <f t="shared" si="3"/>
        <v>100.93</v>
      </c>
      <c r="U29" s="23">
        <f t="shared" si="26"/>
        <v>200</v>
      </c>
      <c r="V29" s="137">
        <v>2147.2568568800002</v>
      </c>
      <c r="W29" s="136">
        <f t="shared" ref="W29:W33" si="30">V29*0.004</f>
        <v>8.5890274275199996</v>
      </c>
      <c r="X29" s="136">
        <f t="shared" si="24"/>
        <v>47.85</v>
      </c>
      <c r="Y29" s="136">
        <f t="shared" si="25"/>
        <v>59.81</v>
      </c>
      <c r="Z29" s="163">
        <f t="shared" si="6"/>
        <v>217.18</v>
      </c>
      <c r="AA29" s="161">
        <v>3127</v>
      </c>
      <c r="AB29" s="162"/>
    </row>
    <row r="30" spans="1:30" s="3" customFormat="1" ht="19.05" customHeight="1" x14ac:dyDescent="0.3">
      <c r="A30" s="20">
        <v>45813</v>
      </c>
      <c r="B30" s="194" t="s">
        <v>39</v>
      </c>
      <c r="C30" s="22" t="s">
        <v>40</v>
      </c>
      <c r="D30" s="29" t="s">
        <v>41</v>
      </c>
      <c r="E30" s="190">
        <v>1</v>
      </c>
      <c r="F30" s="23">
        <v>500</v>
      </c>
      <c r="G30" s="26">
        <f>1008/0.8</f>
        <v>1260</v>
      </c>
      <c r="H30" s="26">
        <f t="shared" ref="H30:H36" si="31">0/$H$1</f>
        <v>0</v>
      </c>
      <c r="I30" s="26">
        <f>(66+230/5)/0.8</f>
        <v>140</v>
      </c>
      <c r="J30" s="26">
        <f>791/0.8</f>
        <v>988.75</v>
      </c>
      <c r="K30" s="80">
        <v>180</v>
      </c>
      <c r="L30" s="103">
        <f>80*60*1.1/2</f>
        <v>2640</v>
      </c>
      <c r="M30" s="80">
        <v>180</v>
      </c>
      <c r="N30" s="80">
        <f t="shared" si="0"/>
        <v>5388.75</v>
      </c>
      <c r="O30" s="81">
        <v>34.299999999999997</v>
      </c>
      <c r="P30" s="81">
        <f t="shared" si="28"/>
        <v>53.91</v>
      </c>
      <c r="Q30" s="177">
        <v>1542</v>
      </c>
      <c r="R30" s="81">
        <v>162.80000000000001</v>
      </c>
      <c r="S30" s="81">
        <f t="shared" si="29"/>
        <v>73.22</v>
      </c>
      <c r="T30" s="108">
        <f t="shared" si="3"/>
        <v>127.13</v>
      </c>
      <c r="U30" s="23">
        <f t="shared" si="26"/>
        <v>500</v>
      </c>
      <c r="V30" s="113">
        <v>3193.4217230308</v>
      </c>
      <c r="W30" s="140">
        <f t="shared" si="30"/>
        <v>12.7736868921232</v>
      </c>
      <c r="X30" s="140">
        <f>ROUNDUP(P30*1,2)</f>
        <v>53.91</v>
      </c>
      <c r="Y30" s="140">
        <f>ROUNDUP(P30*1.2,2)</f>
        <v>64.7</v>
      </c>
      <c r="Z30" s="163">
        <f t="shared" si="6"/>
        <v>258.52</v>
      </c>
      <c r="AA30" s="161">
        <v>5095</v>
      </c>
    </row>
    <row r="31" spans="1:30" s="3" customFormat="1" ht="19.05" customHeight="1" x14ac:dyDescent="0.3">
      <c r="A31" s="20">
        <v>45813</v>
      </c>
      <c r="B31" s="194" t="s">
        <v>42</v>
      </c>
      <c r="C31" s="56" t="s">
        <v>43</v>
      </c>
      <c r="D31" s="29" t="s">
        <v>44</v>
      </c>
      <c r="E31" s="64">
        <v>1</v>
      </c>
      <c r="F31" s="23">
        <v>2000</v>
      </c>
      <c r="G31" s="26">
        <f>953/0.8</f>
        <v>1191.25</v>
      </c>
      <c r="H31" s="26">
        <f t="shared" si="31"/>
        <v>0</v>
      </c>
      <c r="I31" s="26">
        <f>(60+230/5)/0.8</f>
        <v>132.5</v>
      </c>
      <c r="J31" s="26">
        <f>571/0.8</f>
        <v>713.75</v>
      </c>
      <c r="K31" s="80">
        <v>180</v>
      </c>
      <c r="L31" s="103">
        <f>66*60*1.1/3</f>
        <v>1452</v>
      </c>
      <c r="M31" s="80">
        <v>180</v>
      </c>
      <c r="N31" s="80">
        <f t="shared" si="0"/>
        <v>3849.5</v>
      </c>
      <c r="O31" s="81">
        <v>34.299999999999997</v>
      </c>
      <c r="P31" s="81">
        <f t="shared" si="28"/>
        <v>38.51</v>
      </c>
      <c r="Q31" s="177">
        <v>1462</v>
      </c>
      <c r="R31" s="81">
        <v>162.80000000000001</v>
      </c>
      <c r="S31" s="81">
        <f t="shared" si="29"/>
        <v>69.42</v>
      </c>
      <c r="T31" s="108">
        <f t="shared" si="3"/>
        <v>107.93</v>
      </c>
      <c r="U31" s="23">
        <f t="shared" si="26"/>
        <v>2000</v>
      </c>
      <c r="V31" s="113">
        <v>1988</v>
      </c>
      <c r="W31" s="136">
        <f t="shared" ref="W31:W35" si="32">V31*0.002</f>
        <v>3.976</v>
      </c>
      <c r="X31" s="136">
        <f t="shared" ref="X31:X35" si="33">ROUNDUP(P31*0.8,2)</f>
        <v>30.81</v>
      </c>
      <c r="Y31" s="136">
        <f t="shared" ref="Y31:Y35" si="34">ROUNDUP(P31*0.9,2)</f>
        <v>34.659999999999997</v>
      </c>
      <c r="Z31" s="163">
        <f t="shared" si="6"/>
        <v>177.38</v>
      </c>
      <c r="AA31" s="161">
        <v>4914</v>
      </c>
    </row>
    <row r="32" spans="1:30" s="3" customFormat="1" ht="19.05" customHeight="1" x14ac:dyDescent="0.3">
      <c r="A32" s="20">
        <v>45807</v>
      </c>
      <c r="B32" s="194" t="s">
        <v>103</v>
      </c>
      <c r="C32" s="56" t="s">
        <v>104</v>
      </c>
      <c r="D32" s="29" t="s">
        <v>105</v>
      </c>
      <c r="E32" s="64">
        <v>1</v>
      </c>
      <c r="F32" s="23">
        <v>200</v>
      </c>
      <c r="G32" s="26">
        <f>1272/G$1</f>
        <v>1590</v>
      </c>
      <c r="H32" s="26">
        <f t="shared" si="27"/>
        <v>0</v>
      </c>
      <c r="I32" s="26">
        <f>(23)/I$1</f>
        <v>28.75</v>
      </c>
      <c r="J32" s="26">
        <f>765/J$1</f>
        <v>956.25</v>
      </c>
      <c r="K32" s="80">
        <v>180</v>
      </c>
      <c r="L32" s="103">
        <f>50*1.1*60/2</f>
        <v>1650</v>
      </c>
      <c r="M32" s="80">
        <v>180</v>
      </c>
      <c r="N32" s="80">
        <f t="shared" si="0"/>
        <v>4585</v>
      </c>
      <c r="O32" s="81">
        <v>34.299999999999997</v>
      </c>
      <c r="P32" s="81">
        <f t="shared" si="28"/>
        <v>45.87</v>
      </c>
      <c r="Q32" s="177">
        <v>1765</v>
      </c>
      <c r="R32" s="81">
        <v>162.80000000000001</v>
      </c>
      <c r="S32" s="81">
        <f t="shared" si="29"/>
        <v>83.81</v>
      </c>
      <c r="T32" s="108">
        <f t="shared" si="3"/>
        <v>129.68</v>
      </c>
      <c r="U32" s="23">
        <f t="shared" si="26"/>
        <v>200</v>
      </c>
      <c r="V32" s="113">
        <v>4249.6116259999999</v>
      </c>
      <c r="W32" s="136">
        <f t="shared" si="30"/>
        <v>16.998446504</v>
      </c>
      <c r="X32" s="136">
        <f t="shared" ref="X32:X38" si="35">ROUNDUP(P32*1.2,2)</f>
        <v>55.05</v>
      </c>
      <c r="Y32" s="136">
        <f t="shared" ref="Y32:Y38" si="36">ROUNDUP(P32*1.5,2)</f>
        <v>68.81</v>
      </c>
      <c r="Z32" s="163">
        <f t="shared" si="6"/>
        <v>270.54000000000002</v>
      </c>
      <c r="AA32" s="161">
        <v>5424</v>
      </c>
    </row>
    <row r="33" spans="1:30" s="3" customFormat="1" ht="19.05" customHeight="1" x14ac:dyDescent="0.3">
      <c r="A33" s="20">
        <v>45812</v>
      </c>
      <c r="B33" s="194" t="s">
        <v>106</v>
      </c>
      <c r="C33" s="56" t="s">
        <v>107</v>
      </c>
      <c r="D33" s="66" t="s">
        <v>108</v>
      </c>
      <c r="E33" s="64">
        <v>1</v>
      </c>
      <c r="F33" s="23">
        <v>200</v>
      </c>
      <c r="G33" s="26">
        <f>1239.37/G$1</f>
        <v>1549.2125000000001</v>
      </c>
      <c r="H33" s="67">
        <f t="shared" si="27"/>
        <v>0</v>
      </c>
      <c r="I33" s="67">
        <f>(60+23)/I$1</f>
        <v>103.75</v>
      </c>
      <c r="J33" s="67">
        <f>600/J$1</f>
        <v>750</v>
      </c>
      <c r="K33" s="80">
        <v>210</v>
      </c>
      <c r="L33" s="103">
        <f>50*1.1*60/2</f>
        <v>1650</v>
      </c>
      <c r="M33" s="80">
        <v>180</v>
      </c>
      <c r="N33" s="80">
        <f t="shared" si="0"/>
        <v>4442.9624999999996</v>
      </c>
      <c r="O33" s="81">
        <v>34.299999999999997</v>
      </c>
      <c r="P33" s="81">
        <f t="shared" si="28"/>
        <v>44.45</v>
      </c>
      <c r="Q33" s="177">
        <v>1962.5063122618601</v>
      </c>
      <c r="R33" s="81">
        <v>162.80000000000001</v>
      </c>
      <c r="S33" s="81">
        <f t="shared" si="29"/>
        <v>93.19</v>
      </c>
      <c r="T33" s="108">
        <f t="shared" si="3"/>
        <v>137.63999999999999</v>
      </c>
      <c r="U33" s="23">
        <f t="shared" si="26"/>
        <v>200</v>
      </c>
      <c r="V33" s="113">
        <v>3524.4938600666701</v>
      </c>
      <c r="W33" s="136">
        <f t="shared" si="30"/>
        <v>14.097975440266699</v>
      </c>
      <c r="X33" s="136">
        <f t="shared" si="35"/>
        <v>53.34</v>
      </c>
      <c r="Y33" s="136">
        <f t="shared" si="36"/>
        <v>66.680000000000007</v>
      </c>
      <c r="Z33" s="163">
        <f t="shared" si="6"/>
        <v>271.76</v>
      </c>
      <c r="AA33" s="121">
        <v>6553</v>
      </c>
      <c r="AB33" s="162"/>
    </row>
    <row r="34" spans="1:30" s="3" customFormat="1" ht="19.05" customHeight="1" x14ac:dyDescent="0.3">
      <c r="A34" s="20">
        <v>45822</v>
      </c>
      <c r="B34" s="194" t="s">
        <v>109</v>
      </c>
      <c r="C34" s="56" t="s">
        <v>110</v>
      </c>
      <c r="D34" s="29" t="s">
        <v>111</v>
      </c>
      <c r="E34" s="64">
        <v>1</v>
      </c>
      <c r="F34" s="23">
        <v>2000</v>
      </c>
      <c r="G34" s="26">
        <f>953.558095949/0.8</f>
        <v>1191.94761993625</v>
      </c>
      <c r="H34" s="26">
        <f t="shared" si="31"/>
        <v>0</v>
      </c>
      <c r="I34" s="26">
        <f>410/0.8</f>
        <v>512.5</v>
      </c>
      <c r="J34" s="26">
        <f>540/0.8</f>
        <v>675</v>
      </c>
      <c r="K34" s="80">
        <v>150</v>
      </c>
      <c r="L34" s="103">
        <f>27*60*1.1/2</f>
        <v>891</v>
      </c>
      <c r="M34" s="80">
        <v>180</v>
      </c>
      <c r="N34" s="80">
        <f t="shared" si="0"/>
        <v>3600.4476199362498</v>
      </c>
      <c r="O34" s="81">
        <v>34.299999999999997</v>
      </c>
      <c r="P34" s="81">
        <f t="shared" ref="P34:P39" si="37">ROUND((O34*N34/3600)*$P$1,2)</f>
        <v>34.99</v>
      </c>
      <c r="Q34" s="177">
        <v>1569.5070164225599</v>
      </c>
      <c r="R34" s="81">
        <v>162.80000000000001</v>
      </c>
      <c r="S34" s="81">
        <f t="shared" ref="S34:S39" si="38">ROUND((R34*Q34/3600)*$S$1,2)</f>
        <v>72.400000000000006</v>
      </c>
      <c r="T34" s="108">
        <f t="shared" si="3"/>
        <v>107.39</v>
      </c>
      <c r="U34" s="23">
        <f t="shared" si="26"/>
        <v>2000</v>
      </c>
      <c r="V34" s="113">
        <v>2355.0923248479999</v>
      </c>
      <c r="W34" s="136">
        <f t="shared" si="32"/>
        <v>4.710184649696</v>
      </c>
      <c r="X34" s="136">
        <f t="shared" si="33"/>
        <v>28</v>
      </c>
      <c r="Y34" s="136">
        <f t="shared" si="34"/>
        <v>31.5</v>
      </c>
      <c r="Z34" s="163">
        <f t="shared" si="6"/>
        <v>171.61</v>
      </c>
      <c r="AA34" s="121">
        <v>4403</v>
      </c>
      <c r="AB34" s="162"/>
    </row>
    <row r="35" spans="1:30" s="3" customFormat="1" ht="19.05" customHeight="1" x14ac:dyDescent="0.3">
      <c r="A35" s="20">
        <v>45822</v>
      </c>
      <c r="B35" s="194" t="s">
        <v>112</v>
      </c>
      <c r="C35" s="56" t="s">
        <v>113</v>
      </c>
      <c r="D35" s="29" t="s">
        <v>111</v>
      </c>
      <c r="E35" s="64">
        <v>1</v>
      </c>
      <c r="F35" s="23">
        <v>5000</v>
      </c>
      <c r="G35" s="26">
        <f>953.558095949/0.8</f>
        <v>1191.94761993625</v>
      </c>
      <c r="H35" s="26">
        <f t="shared" si="31"/>
        <v>0</v>
      </c>
      <c r="I35" s="26">
        <f>370/0.8</f>
        <v>462.5</v>
      </c>
      <c r="J35" s="26">
        <f>540/0.8</f>
        <v>675</v>
      </c>
      <c r="K35" s="80">
        <v>150</v>
      </c>
      <c r="L35" s="103">
        <f>45*60*1.1/3</f>
        <v>990</v>
      </c>
      <c r="M35" s="80">
        <v>180</v>
      </c>
      <c r="N35" s="80">
        <f t="shared" si="0"/>
        <v>3649.4476199362498</v>
      </c>
      <c r="O35" s="81">
        <v>34.299999999999997</v>
      </c>
      <c r="P35" s="81">
        <f t="shared" si="37"/>
        <v>35.47</v>
      </c>
      <c r="Q35" s="177">
        <v>1569.5070164225599</v>
      </c>
      <c r="R35" s="81">
        <v>162.80000000000001</v>
      </c>
      <c r="S35" s="81">
        <f t="shared" si="38"/>
        <v>72.400000000000006</v>
      </c>
      <c r="T35" s="108">
        <f t="shared" si="3"/>
        <v>107.87</v>
      </c>
      <c r="U35" s="23">
        <f t="shared" si="26"/>
        <v>5000</v>
      </c>
      <c r="V35" s="113">
        <v>2164.038486856</v>
      </c>
      <c r="W35" s="136">
        <f t="shared" si="32"/>
        <v>4.3280769737120002</v>
      </c>
      <c r="X35" s="136">
        <f t="shared" si="33"/>
        <v>28.38</v>
      </c>
      <c r="Y35" s="136">
        <f t="shared" si="34"/>
        <v>31.93</v>
      </c>
      <c r="Z35" s="163">
        <f t="shared" si="6"/>
        <v>172.51</v>
      </c>
      <c r="AA35" s="121">
        <v>4357</v>
      </c>
      <c r="AB35" s="162"/>
    </row>
    <row r="36" spans="1:30" s="3" customFormat="1" ht="19.05" customHeight="1" x14ac:dyDescent="0.3">
      <c r="A36" s="20">
        <v>45822</v>
      </c>
      <c r="B36" s="194" t="s">
        <v>114</v>
      </c>
      <c r="C36" s="56" t="s">
        <v>115</v>
      </c>
      <c r="D36" s="29" t="s">
        <v>116</v>
      </c>
      <c r="E36" s="64">
        <v>1</v>
      </c>
      <c r="F36" s="23">
        <v>350</v>
      </c>
      <c r="G36" s="26">
        <f>1414.58270375/0.8</f>
        <v>1768.2283796874999</v>
      </c>
      <c r="H36" s="26">
        <f t="shared" si="31"/>
        <v>0</v>
      </c>
      <c r="I36" s="26">
        <f>(60+230)/0.8</f>
        <v>362.5</v>
      </c>
      <c r="J36" s="26">
        <f>570/0.8</f>
        <v>712.5</v>
      </c>
      <c r="K36" s="80">
        <v>180</v>
      </c>
      <c r="L36" s="103">
        <f>35*60*1.1/2</f>
        <v>1155</v>
      </c>
      <c r="M36" s="80">
        <v>180</v>
      </c>
      <c r="N36" s="80">
        <f t="shared" si="0"/>
        <v>4358.2283796874999</v>
      </c>
      <c r="O36" s="81">
        <v>34.299999999999997</v>
      </c>
      <c r="P36" s="87">
        <f t="shared" ref="P36:P38" si="39">ROUND((O36*N36/3600)*1.05,2)</f>
        <v>43.6</v>
      </c>
      <c r="Q36" s="177">
        <v>2149.9729168485401</v>
      </c>
      <c r="R36" s="81">
        <v>162.80000000000001</v>
      </c>
      <c r="S36" s="87">
        <f t="shared" ref="S36:S38" si="40">ROUND((R36*Q36/3600)*1.05,2)</f>
        <v>102.09</v>
      </c>
      <c r="T36" s="108">
        <f t="shared" si="3"/>
        <v>145.69</v>
      </c>
      <c r="U36" s="23">
        <f t="shared" si="26"/>
        <v>350</v>
      </c>
      <c r="V36" s="113">
        <v>3174.8420011359999</v>
      </c>
      <c r="W36" s="178">
        <f t="shared" ref="W36:W38" si="41">V36*0.004</f>
        <v>12.699368004544</v>
      </c>
      <c r="X36" s="140">
        <f t="shared" si="35"/>
        <v>52.32</v>
      </c>
      <c r="Y36" s="140">
        <f t="shared" si="36"/>
        <v>65.400000000000006</v>
      </c>
      <c r="Z36" s="163">
        <f t="shared" si="6"/>
        <v>276.11</v>
      </c>
      <c r="AA36" s="121">
        <v>6838</v>
      </c>
      <c r="AB36" s="162"/>
      <c r="AD36" s="212"/>
    </row>
    <row r="37" spans="1:30" s="3" customFormat="1" ht="19.05" customHeight="1" x14ac:dyDescent="0.3">
      <c r="A37" s="20">
        <v>45852</v>
      </c>
      <c r="B37" s="44" t="s">
        <v>117</v>
      </c>
      <c r="C37" s="56" t="s">
        <v>118</v>
      </c>
      <c r="D37" s="29" t="s">
        <v>119</v>
      </c>
      <c r="E37" s="45">
        <v>1</v>
      </c>
      <c r="F37" s="23">
        <v>200</v>
      </c>
      <c r="G37" s="26">
        <f>1497.18/G$1</f>
        <v>1871.4749999999999</v>
      </c>
      <c r="H37" s="67">
        <f>1260/0.95</f>
        <v>1326.3157894736801</v>
      </c>
      <c r="I37" s="67">
        <f>(23)/I$1</f>
        <v>28.75</v>
      </c>
      <c r="J37" s="67">
        <f>813/J$1</f>
        <v>1016.25</v>
      </c>
      <c r="K37" s="80">
        <v>330</v>
      </c>
      <c r="L37" s="103">
        <f>60*1.1*60/2</f>
        <v>1980</v>
      </c>
      <c r="M37" s="80">
        <v>180</v>
      </c>
      <c r="N37" s="80">
        <f t="shared" si="0"/>
        <v>6732.79078947368</v>
      </c>
      <c r="O37" s="81">
        <v>34.299999999999997</v>
      </c>
      <c r="P37" s="81">
        <f t="shared" si="39"/>
        <v>67.36</v>
      </c>
      <c r="Q37" s="177">
        <v>2920.97</v>
      </c>
      <c r="R37" s="81">
        <v>162.80000000000001</v>
      </c>
      <c r="S37" s="81">
        <f t="shared" si="40"/>
        <v>138.69999999999999</v>
      </c>
      <c r="T37" s="108">
        <f t="shared" si="3"/>
        <v>206.06</v>
      </c>
      <c r="U37" s="23">
        <f t="shared" si="26"/>
        <v>200</v>
      </c>
      <c r="V37" s="206">
        <v>5769.3688779535996</v>
      </c>
      <c r="W37" s="136">
        <f t="shared" si="41"/>
        <v>23.077475511814399</v>
      </c>
      <c r="X37" s="136">
        <f t="shared" si="35"/>
        <v>80.84</v>
      </c>
      <c r="Y37" s="136">
        <f t="shared" si="36"/>
        <v>101.04</v>
      </c>
      <c r="Z37" s="163">
        <f t="shared" si="6"/>
        <v>411.02</v>
      </c>
      <c r="AA37" s="113">
        <v>8752</v>
      </c>
      <c r="AB37" s="162"/>
    </row>
    <row r="38" spans="1:30" s="3" customFormat="1" ht="19.05" customHeight="1" x14ac:dyDescent="0.3">
      <c r="A38" s="20">
        <v>45854</v>
      </c>
      <c r="B38" s="44" t="s">
        <v>120</v>
      </c>
      <c r="C38" s="56" t="s">
        <v>121</v>
      </c>
      <c r="D38" s="29" t="s">
        <v>122</v>
      </c>
      <c r="E38" s="196">
        <v>1</v>
      </c>
      <c r="F38" s="23">
        <v>200</v>
      </c>
      <c r="G38" s="26">
        <f>1490/G$1</f>
        <v>1862.5</v>
      </c>
      <c r="H38" s="67">
        <f>0/0.95</f>
        <v>0</v>
      </c>
      <c r="I38" s="67">
        <f>(54+23)/I$1</f>
        <v>96.25</v>
      </c>
      <c r="J38" s="67">
        <f>780/J$1</f>
        <v>975</v>
      </c>
      <c r="K38" s="80">
        <v>180</v>
      </c>
      <c r="L38" s="103">
        <f>40*1.1*60/2</f>
        <v>1320</v>
      </c>
      <c r="M38" s="80">
        <v>180</v>
      </c>
      <c r="N38" s="80">
        <f t="shared" si="0"/>
        <v>4613.75</v>
      </c>
      <c r="O38" s="81">
        <v>34.299999999999997</v>
      </c>
      <c r="P38" s="81">
        <f t="shared" si="39"/>
        <v>46.16</v>
      </c>
      <c r="Q38" s="177">
        <v>1943</v>
      </c>
      <c r="R38" s="81">
        <v>162.80000000000001</v>
      </c>
      <c r="S38" s="81">
        <f t="shared" si="40"/>
        <v>92.26</v>
      </c>
      <c r="T38" s="108">
        <f t="shared" si="3"/>
        <v>138.41999999999999</v>
      </c>
      <c r="U38" s="207">
        <f t="shared" si="26"/>
        <v>200</v>
      </c>
      <c r="V38" s="206">
        <v>4019.44218</v>
      </c>
      <c r="W38" s="136">
        <f t="shared" si="41"/>
        <v>16.077768720000002</v>
      </c>
      <c r="X38" s="136">
        <f t="shared" si="35"/>
        <v>55.4</v>
      </c>
      <c r="Y38" s="136">
        <f t="shared" si="36"/>
        <v>69.239999999999995</v>
      </c>
      <c r="Z38" s="163">
        <f t="shared" si="6"/>
        <v>279.14</v>
      </c>
      <c r="AA38" s="113">
        <v>7313</v>
      </c>
      <c r="AB38" s="162"/>
    </row>
    <row r="39" spans="1:30" s="3" customFormat="1" ht="19.05" customHeight="1" x14ac:dyDescent="0.3">
      <c r="A39" s="20">
        <v>45868</v>
      </c>
      <c r="B39" s="194" t="s">
        <v>123</v>
      </c>
      <c r="C39" s="56" t="s">
        <v>101</v>
      </c>
      <c r="D39" s="66" t="s">
        <v>102</v>
      </c>
      <c r="E39" s="64">
        <v>1</v>
      </c>
      <c r="F39" s="23">
        <v>5000</v>
      </c>
      <c r="G39" s="26">
        <f>774/G$1</f>
        <v>967.5</v>
      </c>
      <c r="H39" s="67">
        <f>0/$G$1</f>
        <v>0</v>
      </c>
      <c r="I39" s="67">
        <f>23/I$1</f>
        <v>28.75</v>
      </c>
      <c r="J39" s="67">
        <f>915/J$1</f>
        <v>1143.75</v>
      </c>
      <c r="K39" s="80">
        <v>180</v>
      </c>
      <c r="L39" s="199">
        <f>1853*1.1/2</f>
        <v>1019.15</v>
      </c>
      <c r="M39" s="80">
        <v>180</v>
      </c>
      <c r="N39" s="80">
        <f t="shared" si="0"/>
        <v>3519.15</v>
      </c>
      <c r="O39" s="81">
        <v>34.299999999999997</v>
      </c>
      <c r="P39" s="81">
        <f t="shared" si="37"/>
        <v>34.200000000000003</v>
      </c>
      <c r="Q39" s="177">
        <v>1286</v>
      </c>
      <c r="R39" s="81">
        <v>162.80000000000001</v>
      </c>
      <c r="S39" s="81">
        <f t="shared" si="38"/>
        <v>59.32</v>
      </c>
      <c r="T39" s="108">
        <f t="shared" si="3"/>
        <v>93.52</v>
      </c>
      <c r="U39" s="23">
        <f t="shared" si="26"/>
        <v>5000</v>
      </c>
      <c r="V39" s="137">
        <v>2147.2568568800002</v>
      </c>
      <c r="W39" s="136">
        <f>V39*0.002</f>
        <v>4.2945137137599998</v>
      </c>
      <c r="X39" s="136">
        <f>ROUNDUP(P39*0.6,2)</f>
        <v>20.52</v>
      </c>
      <c r="Y39" s="136">
        <f>ROUNDUP(P39*0.6,2)</f>
        <v>20.52</v>
      </c>
      <c r="Z39" s="163">
        <f t="shared" si="6"/>
        <v>138.86000000000001</v>
      </c>
      <c r="AA39" s="121">
        <v>3057</v>
      </c>
      <c r="AB39" s="162"/>
    </row>
    <row r="40" spans="1:30" s="3" customFormat="1" ht="19.05" customHeight="1" x14ac:dyDescent="0.3">
      <c r="A40" s="20">
        <v>45885</v>
      </c>
      <c r="B40" s="70" t="s">
        <v>106</v>
      </c>
      <c r="C40" s="56" t="s">
        <v>107</v>
      </c>
      <c r="D40" s="66" t="s">
        <v>108</v>
      </c>
      <c r="E40" s="64">
        <v>1</v>
      </c>
      <c r="F40" s="23">
        <v>500</v>
      </c>
      <c r="G40" s="26">
        <f>1239.37/G$1</f>
        <v>1549.2125000000001</v>
      </c>
      <c r="H40" s="67">
        <f>0/$G$1</f>
        <v>0</v>
      </c>
      <c r="I40" s="67">
        <f>(0+23)/I$1</f>
        <v>28.75</v>
      </c>
      <c r="J40" s="67">
        <f>600/J$1</f>
        <v>750</v>
      </c>
      <c r="K40" s="80">
        <v>210</v>
      </c>
      <c r="L40" s="103">
        <f>35*1.1*60/2</f>
        <v>1155</v>
      </c>
      <c r="M40" s="80">
        <v>180</v>
      </c>
      <c r="N40" s="80">
        <f t="shared" si="0"/>
        <v>3872.9625000000001</v>
      </c>
      <c r="O40" s="81">
        <v>34.299999999999997</v>
      </c>
      <c r="P40" s="81">
        <f>ROUND((O40*N40/3600)*1.05,2)</f>
        <v>38.75</v>
      </c>
      <c r="Q40" s="177">
        <v>1962.5063122618601</v>
      </c>
      <c r="R40" s="81">
        <v>162.80000000000001</v>
      </c>
      <c r="S40" s="81">
        <f>ROUND((R40*Q40/3600)*1.05,2)</f>
        <v>93.19</v>
      </c>
      <c r="T40" s="108">
        <f t="shared" si="3"/>
        <v>131.94</v>
      </c>
      <c r="U40" s="23">
        <f t="shared" si="26"/>
        <v>500</v>
      </c>
      <c r="V40" s="180">
        <v>3649.0767910186701</v>
      </c>
      <c r="W40" s="136">
        <f>V40*0.004</f>
        <v>14.5963071640747</v>
      </c>
      <c r="X40" s="136">
        <f>ROUNDUP(P40*1,2)</f>
        <v>38.75</v>
      </c>
      <c r="Y40" s="136">
        <f>ROUNDUP(P40*1.2,2)</f>
        <v>46.5</v>
      </c>
      <c r="Z40" s="163">
        <f t="shared" si="6"/>
        <v>231.79</v>
      </c>
      <c r="AA40" s="121">
        <v>6568</v>
      </c>
      <c r="AB40" s="162"/>
    </row>
    <row r="41" spans="1:30" s="3" customFormat="1" ht="19.05" customHeight="1" x14ac:dyDescent="0.3">
      <c r="A41" s="20">
        <v>45927</v>
      </c>
      <c r="B41" s="194" t="s">
        <v>124</v>
      </c>
      <c r="C41" s="56" t="s">
        <v>125</v>
      </c>
      <c r="D41" s="66" t="s">
        <v>126</v>
      </c>
      <c r="E41" s="24">
        <v>1</v>
      </c>
      <c r="F41" s="23">
        <v>1000</v>
      </c>
      <c r="G41" s="26">
        <f>1454/G$1</f>
        <v>1817.5</v>
      </c>
      <c r="H41" s="67">
        <v>0</v>
      </c>
      <c r="I41" s="67">
        <f>(23)/I$1</f>
        <v>28.75</v>
      </c>
      <c r="J41" s="67">
        <f>915/J$1</f>
        <v>1143.75</v>
      </c>
      <c r="K41" s="80">
        <v>210</v>
      </c>
      <c r="L41" s="103">
        <f>50*1.1*60/2</f>
        <v>1650</v>
      </c>
      <c r="M41" s="80">
        <v>180</v>
      </c>
      <c r="N41" s="80">
        <f t="shared" si="0"/>
        <v>5030</v>
      </c>
      <c r="O41" s="81">
        <v>34.299999999999997</v>
      </c>
      <c r="P41" s="81">
        <f>ROUND((O41*N41/3600)*1.02,2)</f>
        <v>48.88</v>
      </c>
      <c r="Q41" s="177">
        <v>1881</v>
      </c>
      <c r="R41" s="81">
        <v>162.80000000000001</v>
      </c>
      <c r="S41" s="81">
        <f>ROUND((R41*Q41/3600)*1.02,2)</f>
        <v>86.76</v>
      </c>
      <c r="T41" s="108">
        <f t="shared" si="3"/>
        <v>135.63999999999999</v>
      </c>
      <c r="U41" s="23">
        <f t="shared" si="26"/>
        <v>1000</v>
      </c>
      <c r="V41" s="183">
        <v>4086.561385</v>
      </c>
      <c r="W41" s="139">
        <f>V41*0.002</f>
        <v>8.1731227700000009</v>
      </c>
      <c r="X41" s="120">
        <f>ROUNDUP(P41*0.8,2)</f>
        <v>39.11</v>
      </c>
      <c r="Y41" s="120">
        <f>ROUNDUP(P41*0.9,2)</f>
        <v>44</v>
      </c>
      <c r="Z41" s="163">
        <f t="shared" si="6"/>
        <v>226.93</v>
      </c>
      <c r="AA41" s="121">
        <v>5306</v>
      </c>
      <c r="AB41" s="162"/>
    </row>
    <row r="1345" spans="16:16" x14ac:dyDescent="0.3">
      <c r="P1345" s="188"/>
    </row>
    <row r="1346" spans="16:16" x14ac:dyDescent="0.3">
      <c r="P1346" s="188"/>
    </row>
  </sheetData>
  <autoFilter ref="A2:AC41" xr:uid="{00000000-0009-0000-0000-000000000000}"/>
  <mergeCells count="1">
    <mergeCell ref="K1:M1"/>
  </mergeCells>
  <phoneticPr fontId="43" type="noConversion"/>
  <conditionalFormatting sqref="A2">
    <cfRule type="expression" dxfId="630" priority="122">
      <formula>$A2&lt;&gt;""</formula>
    </cfRule>
  </conditionalFormatting>
  <conditionalFormatting sqref="B2">
    <cfRule type="expression" dxfId="629" priority="121">
      <formula>$A2&lt;&gt;""</formula>
    </cfRule>
  </conditionalFormatting>
  <conditionalFormatting sqref="A3">
    <cfRule type="expression" dxfId="628" priority="39">
      <formula>$A759&lt;&gt;""</formula>
    </cfRule>
    <cfRule type="expression" dxfId="627" priority="38">
      <formula>$A3&lt;&gt;""</formula>
    </cfRule>
  </conditionalFormatting>
  <conditionalFormatting sqref="D3">
    <cfRule type="expression" dxfId="626" priority="27">
      <formula>#REF!&lt;&gt;""</formula>
    </cfRule>
  </conditionalFormatting>
  <conditionalFormatting sqref="A4">
    <cfRule type="expression" dxfId="625" priority="26">
      <formula>$A766&lt;&gt;""</formula>
    </cfRule>
    <cfRule type="expression" dxfId="624" priority="25">
      <formula>$A4&lt;&gt;""</formula>
    </cfRule>
  </conditionalFormatting>
  <conditionalFormatting sqref="D4">
    <cfRule type="expression" dxfId="623" priority="24">
      <formula>#REF!&lt;&gt;""</formula>
    </cfRule>
  </conditionalFormatting>
  <conditionalFormatting sqref="A5">
    <cfRule type="expression" dxfId="622" priority="33">
      <formula>$A733&lt;&gt;""</formula>
    </cfRule>
    <cfRule type="expression" dxfId="621" priority="32">
      <formula>$A5&lt;&gt;""</formula>
    </cfRule>
  </conditionalFormatting>
  <conditionalFormatting sqref="D5">
    <cfRule type="expression" dxfId="620" priority="34">
      <formula>#REF!&lt;&gt;""</formula>
    </cfRule>
  </conditionalFormatting>
  <conditionalFormatting sqref="A6">
    <cfRule type="expression" dxfId="619" priority="36">
      <formula>$A724&lt;&gt;""</formula>
    </cfRule>
    <cfRule type="expression" dxfId="618" priority="35">
      <formula>$A6&lt;&gt;""</formula>
    </cfRule>
  </conditionalFormatting>
  <conditionalFormatting sqref="D6">
    <cfRule type="expression" dxfId="617" priority="37">
      <formula>#REF!&lt;&gt;""</formula>
    </cfRule>
  </conditionalFormatting>
  <conditionalFormatting sqref="A7">
    <cfRule type="expression" dxfId="616" priority="30">
      <formula>$C7&lt;&gt;""</formula>
    </cfRule>
    <cfRule type="expression" dxfId="615" priority="29">
      <formula>$A732&lt;&gt;""</formula>
    </cfRule>
    <cfRule type="expression" dxfId="614" priority="28">
      <formula>$A7&lt;&gt;""</formula>
    </cfRule>
  </conditionalFormatting>
  <conditionalFormatting sqref="D7">
    <cfRule type="expression" dxfId="613" priority="31">
      <formula>#REF!&lt;&gt;""</formula>
    </cfRule>
  </conditionalFormatting>
  <conditionalFormatting sqref="D8">
    <cfRule type="expression" dxfId="612" priority="23">
      <formula>#REF!&lt;&gt;""</formula>
    </cfRule>
  </conditionalFormatting>
  <conditionalFormatting sqref="D9">
    <cfRule type="expression" dxfId="611" priority="22">
      <formula>#REF!&lt;&gt;""</formula>
    </cfRule>
  </conditionalFormatting>
  <conditionalFormatting sqref="A10">
    <cfRule type="expression" dxfId="610" priority="14">
      <formula>$C10&lt;&gt;""</formula>
    </cfRule>
    <cfRule type="expression" dxfId="609" priority="13">
      <formula>$A763&lt;&gt;""</formula>
    </cfRule>
    <cfRule type="expression" dxfId="608" priority="12">
      <formula>$A10&lt;&gt;""</formula>
    </cfRule>
  </conditionalFormatting>
  <conditionalFormatting sqref="D10">
    <cfRule type="expression" dxfId="607" priority="18">
      <formula>#REF!&lt;&gt;""</formula>
    </cfRule>
  </conditionalFormatting>
  <conditionalFormatting sqref="G10:L10">
    <cfRule type="expression" dxfId="606" priority="17">
      <formula>$A10&lt;&gt;""</formula>
    </cfRule>
  </conditionalFormatting>
  <conditionalFormatting sqref="Q10">
    <cfRule type="expression" dxfId="605" priority="15">
      <formula>$A10&lt;&gt;""</formula>
    </cfRule>
  </conditionalFormatting>
  <conditionalFormatting sqref="V10">
    <cfRule type="expression" dxfId="604" priority="16">
      <formula>$A10&lt;&gt;""</formula>
    </cfRule>
  </conditionalFormatting>
  <conditionalFormatting sqref="D11">
    <cfRule type="expression" dxfId="603" priority="172">
      <formula>#REF!&lt;&gt;""</formula>
    </cfRule>
  </conditionalFormatting>
  <conditionalFormatting sqref="D12">
    <cfRule type="expression" dxfId="602" priority="171">
      <formula>#REF!&lt;&gt;""</formula>
    </cfRule>
  </conditionalFormatting>
  <conditionalFormatting sqref="D13">
    <cfRule type="expression" dxfId="601" priority="162">
      <formula>#REF!&lt;&gt;""</formula>
    </cfRule>
  </conditionalFormatting>
  <conditionalFormatting sqref="D14">
    <cfRule type="expression" dxfId="600" priority="135">
      <formula>$B771&lt;&gt;""</formula>
    </cfRule>
    <cfRule type="expression" dxfId="599" priority="134">
      <formula>$B14&lt;&gt;""</formula>
    </cfRule>
    <cfRule type="expression" dxfId="598" priority="131">
      <formula>$D14&lt;&gt;""</formula>
    </cfRule>
  </conditionalFormatting>
  <conditionalFormatting sqref="E14">
    <cfRule type="expression" dxfId="597" priority="167">
      <formula>#REF!&lt;&gt;""</formula>
    </cfRule>
  </conditionalFormatting>
  <conditionalFormatting sqref="T14">
    <cfRule type="expression" dxfId="596" priority="165">
      <formula>$B14&lt;&gt;""</formula>
    </cfRule>
  </conditionalFormatting>
  <conditionalFormatting sqref="D15">
    <cfRule type="expression" dxfId="595" priority="133">
      <formula>$B777&lt;&gt;""</formula>
    </cfRule>
    <cfRule type="expression" dxfId="594" priority="132">
      <formula>$B15&lt;&gt;""</formula>
    </cfRule>
    <cfRule type="expression" dxfId="593" priority="130">
      <formula>$D15&lt;&gt;""</formula>
    </cfRule>
  </conditionalFormatting>
  <conditionalFormatting sqref="U15:Y15">
    <cfRule type="expression" dxfId="592" priority="163">
      <formula>$B15&lt;&gt;""</formula>
    </cfRule>
  </conditionalFormatting>
  <conditionalFormatting sqref="D16">
    <cfRule type="expression" dxfId="591" priority="170">
      <formula>#REF!&lt;&gt;""</formula>
    </cfRule>
  </conditionalFormatting>
  <conditionalFormatting sqref="D20">
    <cfRule type="expression" dxfId="590" priority="160">
      <formula>#REF!&lt;&gt;""</formula>
    </cfRule>
  </conditionalFormatting>
  <conditionalFormatting sqref="G20:J20">
    <cfRule type="expression" dxfId="589" priority="159">
      <formula>#REF!&lt;&gt;""</formula>
    </cfRule>
  </conditionalFormatting>
  <conditionalFormatting sqref="K20:L20">
    <cfRule type="expression" dxfId="588" priority="158">
      <formula>#REF!&lt;&gt;""</formula>
    </cfRule>
  </conditionalFormatting>
  <conditionalFormatting sqref="M20:N20">
    <cfRule type="expression" dxfId="587" priority="157">
      <formula>#REF!&lt;&gt;""</formula>
    </cfRule>
  </conditionalFormatting>
  <conditionalFormatting sqref="Q20">
    <cfRule type="expression" dxfId="586" priority="156">
      <formula>#REF!&lt;&gt;""</formula>
    </cfRule>
  </conditionalFormatting>
  <conditionalFormatting sqref="R20">
    <cfRule type="expression" dxfId="585" priority="155">
      <formula>#REF!&lt;&gt;""</formula>
    </cfRule>
  </conditionalFormatting>
  <conditionalFormatting sqref="D21">
    <cfRule type="expression" dxfId="584" priority="154">
      <formula>#REF!&lt;&gt;""</formula>
    </cfRule>
  </conditionalFormatting>
  <conditionalFormatting sqref="V21">
    <cfRule type="expression" dxfId="583" priority="153">
      <formula>#REF!&lt;&gt;""</formula>
    </cfRule>
  </conditionalFormatting>
  <conditionalFormatting sqref="D22">
    <cfRule type="expression" dxfId="582" priority="169">
      <formula>#REF!&lt;&gt;""</formula>
    </cfRule>
  </conditionalFormatting>
  <conditionalFormatting sqref="D23">
    <cfRule type="expression" dxfId="581" priority="152">
      <formula>$B23&lt;&gt;""</formula>
    </cfRule>
  </conditionalFormatting>
  <conditionalFormatting sqref="D24">
    <cfRule type="expression" dxfId="580" priority="151">
      <formula>#REF!&lt;&gt;""</formula>
    </cfRule>
  </conditionalFormatting>
  <conditionalFormatting sqref="V24">
    <cfRule type="expression" dxfId="579" priority="150">
      <formula>#REF!&lt;&gt;""</formula>
    </cfRule>
  </conditionalFormatting>
  <conditionalFormatting sqref="D25">
    <cfRule type="expression" dxfId="578" priority="149">
      <formula>#REF!&lt;&gt;""</formula>
    </cfRule>
  </conditionalFormatting>
  <conditionalFormatting sqref="O26">
    <cfRule type="expression" dxfId="577" priority="142">
      <formula>$B26&lt;&gt;""</formula>
    </cfRule>
  </conditionalFormatting>
  <conditionalFormatting sqref="Q26">
    <cfRule type="expression" dxfId="576" priority="143">
      <formula>$B26&lt;&gt;""</formula>
    </cfRule>
  </conditionalFormatting>
  <conditionalFormatting sqref="R26">
    <cfRule type="expression" dxfId="575" priority="146">
      <formula>$B26&lt;&gt;""</formula>
    </cfRule>
  </conditionalFormatting>
  <conditionalFormatting sqref="S26">
    <cfRule type="expression" dxfId="574" priority="145">
      <formula>$B26&lt;&gt;""</formula>
    </cfRule>
  </conditionalFormatting>
  <conditionalFormatting sqref="T26">
    <cfRule type="expression" dxfId="573" priority="144">
      <formula>$B26&lt;&gt;""</formula>
    </cfRule>
  </conditionalFormatting>
  <conditionalFormatting sqref="U26:Y26">
    <cfRule type="expression" dxfId="572" priority="147">
      <formula>$B26&lt;&gt;""</formula>
    </cfRule>
  </conditionalFormatting>
  <conditionalFormatting sqref="A27">
    <cfRule type="expression" dxfId="571" priority="120">
      <formula>$C27&lt;&gt;""</formula>
    </cfRule>
    <cfRule type="expression" dxfId="570" priority="119">
      <formula>$A728&lt;&gt;""</formula>
    </cfRule>
    <cfRule type="expression" dxfId="569" priority="118">
      <formula>$A27&lt;&gt;""</formula>
    </cfRule>
  </conditionalFormatting>
  <conditionalFormatting sqref="B27">
    <cfRule type="expression" dxfId="568" priority="128">
      <formula>$D27&lt;&gt;""</formula>
    </cfRule>
    <cfRule type="expression" dxfId="567" priority="127">
      <formula>$B767&lt;&gt;""</formula>
    </cfRule>
    <cfRule type="expression" dxfId="566" priority="126">
      <formula>$B27&lt;&gt;""</formula>
    </cfRule>
  </conditionalFormatting>
  <conditionalFormatting sqref="D27">
    <cfRule type="expression" dxfId="565" priority="129">
      <formula>#REF!&lt;&gt;""</formula>
    </cfRule>
  </conditionalFormatting>
  <conditionalFormatting sqref="A28">
    <cfRule type="expression" dxfId="564" priority="107">
      <formula>$C28&lt;&gt;""</formula>
    </cfRule>
    <cfRule type="expression" dxfId="563" priority="106">
      <formula>$A729&lt;&gt;""</formula>
    </cfRule>
    <cfRule type="expression" dxfId="562" priority="105">
      <formula>$A28&lt;&gt;""</formula>
    </cfRule>
  </conditionalFormatting>
  <conditionalFormatting sqref="B28">
    <cfRule type="expression" dxfId="561" priority="110">
      <formula>$D28&lt;&gt;""</formula>
    </cfRule>
    <cfRule type="expression" dxfId="560" priority="109">
      <formula>$B768&lt;&gt;""</formula>
    </cfRule>
    <cfRule type="expression" dxfId="559" priority="108">
      <formula>$B28&lt;&gt;""</formula>
    </cfRule>
  </conditionalFormatting>
  <conditionalFormatting sqref="D28">
    <cfRule type="expression" dxfId="558" priority="117">
      <formula>#REF!&lt;&gt;""</formula>
    </cfRule>
  </conditionalFormatting>
  <conditionalFormatting sqref="G28">
    <cfRule type="expression" dxfId="557" priority="116">
      <formula>$A28&lt;&gt;""</formula>
    </cfRule>
  </conditionalFormatting>
  <conditionalFormatting sqref="I28">
    <cfRule type="expression" dxfId="556" priority="115">
      <formula>$A28&lt;&gt;""</formula>
    </cfRule>
  </conditionalFormatting>
  <conditionalFormatting sqref="J28">
    <cfRule type="expression" dxfId="555" priority="114">
      <formula>$A28&lt;&gt;""</formula>
    </cfRule>
  </conditionalFormatting>
  <conditionalFormatting sqref="K28">
    <cfRule type="expression" dxfId="554" priority="113">
      <formula>$A28&lt;&gt;""</formula>
    </cfRule>
  </conditionalFormatting>
  <conditionalFormatting sqref="L28">
    <cfRule type="expression" dxfId="553" priority="112">
      <formula>$A28&lt;&gt;""</formula>
    </cfRule>
  </conditionalFormatting>
  <conditionalFormatting sqref="Q28">
    <cfRule type="expression" dxfId="552" priority="111">
      <formula>$A28&lt;&gt;""</formula>
    </cfRule>
  </conditionalFormatting>
  <conditionalFormatting sqref="A29">
    <cfRule type="expression" dxfId="551" priority="99">
      <formula>$C29&lt;&gt;""</formula>
    </cfRule>
    <cfRule type="expression" dxfId="550" priority="98">
      <formula>$A748&lt;&gt;""</formula>
    </cfRule>
    <cfRule type="expression" dxfId="549" priority="97">
      <formula>$A29&lt;&gt;""</formula>
    </cfRule>
  </conditionalFormatting>
  <conditionalFormatting sqref="B29">
    <cfRule type="expression" dxfId="548" priority="102">
      <formula>$D29&lt;&gt;""</formula>
    </cfRule>
    <cfRule type="expression" dxfId="547" priority="101">
      <formula>$B769&lt;&gt;""</formula>
    </cfRule>
    <cfRule type="expression" dxfId="546" priority="100">
      <formula>$B29&lt;&gt;""</formula>
    </cfRule>
  </conditionalFormatting>
  <conditionalFormatting sqref="D29">
    <cfRule type="expression" dxfId="545" priority="104">
      <formula>#REF!&lt;&gt;""</formula>
    </cfRule>
  </conditionalFormatting>
  <conditionalFormatting sqref="Q29">
    <cfRule type="expression" dxfId="544" priority="103">
      <formula>$A29&lt;&gt;""</formula>
    </cfRule>
  </conditionalFormatting>
  <conditionalFormatting sqref="A30">
    <cfRule type="expression" dxfId="543" priority="94">
      <formula>$C30&lt;&gt;""</formula>
    </cfRule>
    <cfRule type="expression" dxfId="542" priority="93">
      <formula>$A754&lt;&gt;""</formula>
    </cfRule>
    <cfRule type="expression" dxfId="541" priority="92">
      <formula>$A30&lt;&gt;""</formula>
    </cfRule>
  </conditionalFormatting>
  <conditionalFormatting sqref="D30">
    <cfRule type="expression" dxfId="540" priority="96">
      <formula>#REF!&lt;&gt;""</formula>
    </cfRule>
  </conditionalFormatting>
  <conditionalFormatting sqref="A31">
    <cfRule type="expression" dxfId="539" priority="91">
      <formula>$C31&lt;&gt;""</formula>
    </cfRule>
    <cfRule type="expression" dxfId="538" priority="90">
      <formula>$A755&lt;&gt;""</formula>
    </cfRule>
    <cfRule type="expression" dxfId="537" priority="89">
      <formula>$A31&lt;&gt;""</formula>
    </cfRule>
  </conditionalFormatting>
  <conditionalFormatting sqref="D31">
    <cfRule type="expression" dxfId="536" priority="95">
      <formula>#REF!&lt;&gt;""</formula>
    </cfRule>
  </conditionalFormatting>
  <conditionalFormatting sqref="A32">
    <cfRule type="expression" dxfId="535" priority="84">
      <formula>$C32&lt;&gt;""</formula>
    </cfRule>
    <cfRule type="expression" dxfId="534" priority="83">
      <formula>$A756&lt;&gt;""</formula>
    </cfRule>
    <cfRule type="expression" dxfId="533" priority="82">
      <formula>$A32&lt;&gt;""</formula>
    </cfRule>
  </conditionalFormatting>
  <conditionalFormatting sqref="B32">
    <cfRule type="expression" dxfId="532" priority="81">
      <formula>$D32&lt;&gt;""</formula>
    </cfRule>
    <cfRule type="expression" dxfId="531" priority="80">
      <formula>$B772&lt;&gt;""</formula>
    </cfRule>
    <cfRule type="expression" dxfId="530" priority="79">
      <formula>$B32&lt;&gt;""</formula>
    </cfRule>
  </conditionalFormatting>
  <conditionalFormatting sqref="D32">
    <cfRule type="expression" dxfId="529" priority="85">
      <formula>#REF!&lt;&gt;""</formula>
    </cfRule>
  </conditionalFormatting>
  <conditionalFormatting sqref="A33">
    <cfRule type="expression" dxfId="528" priority="77">
      <formula>$C33&lt;&gt;""</formula>
    </cfRule>
    <cfRule type="expression" dxfId="527" priority="76">
      <formula>$A759&lt;&gt;""</formula>
    </cfRule>
    <cfRule type="expression" dxfId="526" priority="75">
      <formula>$A33&lt;&gt;""</formula>
    </cfRule>
  </conditionalFormatting>
  <conditionalFormatting sqref="D33">
    <cfRule type="expression" dxfId="525" priority="78">
      <formula>#REF!&lt;&gt;""</formula>
    </cfRule>
  </conditionalFormatting>
  <conditionalFormatting sqref="A34">
    <cfRule type="expression" dxfId="524" priority="70">
      <formula>$C34&lt;&gt;""</formula>
    </cfRule>
    <cfRule type="expression" dxfId="523" priority="69">
      <formula>$A786&lt;&gt;""</formula>
    </cfRule>
    <cfRule type="expression" dxfId="522" priority="68">
      <formula>$A34&lt;&gt;""</formula>
    </cfRule>
  </conditionalFormatting>
  <conditionalFormatting sqref="D34">
    <cfRule type="expression" dxfId="521" priority="73">
      <formula>#REF!&lt;&gt;""</formula>
    </cfRule>
  </conditionalFormatting>
  <conditionalFormatting sqref="A35">
    <cfRule type="expression" dxfId="520" priority="67">
      <formula>$C35&lt;&gt;""</formula>
    </cfRule>
    <cfRule type="expression" dxfId="519" priority="66">
      <formula>$A787&lt;&gt;""</formula>
    </cfRule>
    <cfRule type="expression" dxfId="518" priority="65">
      <formula>$A35&lt;&gt;""</formula>
    </cfRule>
  </conditionalFormatting>
  <conditionalFormatting sqref="D35">
    <cfRule type="expression" dxfId="517" priority="71">
      <formula>#REF!&lt;&gt;""</formula>
    </cfRule>
  </conditionalFormatting>
  <conditionalFormatting sqref="D36">
    <cfRule type="expression" dxfId="516" priority="72">
      <formula>#REF!&lt;&gt;""</formula>
    </cfRule>
  </conditionalFormatting>
  <conditionalFormatting sqref="B37">
    <cfRule type="expression" dxfId="515" priority="50">
      <formula>$D37&lt;&gt;""</formula>
    </cfRule>
    <cfRule type="expression" dxfId="514" priority="49">
      <formula>$B776&lt;&gt;""</formula>
    </cfRule>
    <cfRule type="expression" dxfId="513" priority="48">
      <formula>$B37&lt;&gt;""</formula>
    </cfRule>
  </conditionalFormatting>
  <conditionalFormatting sqref="D37">
    <cfRule type="expression" dxfId="512" priority="51">
      <formula>#REF!&lt;&gt;""</formula>
    </cfRule>
  </conditionalFormatting>
  <conditionalFormatting sqref="G37">
    <cfRule type="expression" dxfId="511" priority="52">
      <formula>$A37&lt;&gt;""</formula>
    </cfRule>
  </conditionalFormatting>
  <conditionalFormatting sqref="A38">
    <cfRule type="expression" dxfId="510" priority="64">
      <formula>$C38&lt;&gt;""</formula>
    </cfRule>
    <cfRule type="expression" dxfId="509" priority="63">
      <formula>$A789&lt;&gt;""</formula>
    </cfRule>
    <cfRule type="expression" dxfId="508" priority="62">
      <formula>$A38&lt;&gt;""</formula>
    </cfRule>
  </conditionalFormatting>
  <conditionalFormatting sqref="B38">
    <cfRule type="expression" dxfId="507" priority="56">
      <formula>$D38&lt;&gt;""</formula>
    </cfRule>
    <cfRule type="expression" dxfId="506" priority="55">
      <formula>$B777&lt;&gt;""</formula>
    </cfRule>
    <cfRule type="expression" dxfId="505" priority="54">
      <formula>$B38&lt;&gt;""</formula>
    </cfRule>
  </conditionalFormatting>
  <conditionalFormatting sqref="D38">
    <cfRule type="expression" dxfId="504" priority="57">
      <formula>#REF!&lt;&gt;""</formula>
    </cfRule>
  </conditionalFormatting>
  <conditionalFormatting sqref="G38">
    <cfRule type="expression" dxfId="503" priority="53">
      <formula>$A38&lt;&gt;""</formula>
    </cfRule>
  </conditionalFormatting>
  <conditionalFormatting sqref="A39">
    <cfRule type="expression" dxfId="502" priority="43">
      <formula>$C39&lt;&gt;""</formula>
    </cfRule>
    <cfRule type="expression" dxfId="501" priority="42">
      <formula>$A790&lt;&gt;""</formula>
    </cfRule>
    <cfRule type="expression" dxfId="500" priority="41">
      <formula>$A39&lt;&gt;""</formula>
    </cfRule>
  </conditionalFormatting>
  <conditionalFormatting sqref="B39">
    <cfRule type="expression" dxfId="499" priority="46">
      <formula>$C39&lt;&gt;""</formula>
    </cfRule>
    <cfRule type="expression" dxfId="498" priority="45">
      <formula>$A819&lt;&gt;""</formula>
    </cfRule>
    <cfRule type="expression" dxfId="497" priority="44">
      <formula>$A39&lt;&gt;""</formula>
    </cfRule>
  </conditionalFormatting>
  <conditionalFormatting sqref="D39">
    <cfRule type="expression" dxfId="496" priority="47">
      <formula>#REF!&lt;&gt;""</formula>
    </cfRule>
  </conditionalFormatting>
  <conditionalFormatting sqref="A40">
    <cfRule type="expression" dxfId="495" priority="10">
      <formula>$C40&lt;&gt;""</formula>
    </cfRule>
    <cfRule type="expression" dxfId="494" priority="9">
      <formula>$A794&lt;&gt;""</formula>
    </cfRule>
    <cfRule type="expression" dxfId="493" priority="8">
      <formula>$A40&lt;&gt;""</formula>
    </cfRule>
  </conditionalFormatting>
  <conditionalFormatting sqref="D40">
    <cfRule type="expression" dxfId="492" priority="11">
      <formula>#REF!&lt;&gt;""</formula>
    </cfRule>
  </conditionalFormatting>
  <conditionalFormatting sqref="A41">
    <cfRule type="expression" dxfId="491" priority="7">
      <formula>$C41&lt;&gt;""</formula>
    </cfRule>
    <cfRule type="expression" dxfId="490" priority="6">
      <formula>$A795&lt;&gt;""</formula>
    </cfRule>
    <cfRule type="expression" dxfId="489" priority="5">
      <formula>$A41&lt;&gt;""</formula>
    </cfRule>
  </conditionalFormatting>
  <conditionalFormatting sqref="B41">
    <cfRule type="expression" dxfId="488" priority="4">
      <formula>$C41&lt;&gt;""</formula>
    </cfRule>
    <cfRule type="expression" dxfId="487" priority="3">
      <formula>$A821&lt;&gt;""</formula>
    </cfRule>
    <cfRule type="expression" dxfId="486" priority="2">
      <formula>$A41&lt;&gt;""</formula>
    </cfRule>
  </conditionalFormatting>
  <conditionalFormatting sqref="D41">
    <cfRule type="expression" dxfId="485" priority="1">
      <formula>#REF!&lt;&gt;""</formula>
    </cfRule>
  </conditionalFormatting>
  <conditionalFormatting sqref="A8:A9">
    <cfRule type="expression" dxfId="484" priority="21">
      <formula>$C8&lt;&gt;""</formula>
    </cfRule>
    <cfRule type="expression" dxfId="483" priority="20">
      <formula>$A750&lt;&gt;""</formula>
    </cfRule>
    <cfRule type="expression" dxfId="482" priority="19">
      <formula>$A8&lt;&gt;""</formula>
    </cfRule>
  </conditionalFormatting>
  <conditionalFormatting sqref="A11:A26">
    <cfRule type="expression" dxfId="481" priority="125">
      <formula>$C11&lt;&gt;""</formula>
    </cfRule>
    <cfRule type="expression" dxfId="480" priority="124">
      <formula>$A712&lt;&gt;""</formula>
    </cfRule>
    <cfRule type="expression" dxfId="479" priority="123">
      <formula>$A11&lt;&gt;""</formula>
    </cfRule>
  </conditionalFormatting>
  <conditionalFormatting sqref="A36:A37">
    <cfRule type="expression" dxfId="478" priority="175">
      <formula>$C36&lt;&gt;""</formula>
    </cfRule>
    <cfRule type="expression" dxfId="477" priority="174">
      <formula>$A788&lt;&gt;""</formula>
    </cfRule>
    <cfRule type="expression" dxfId="476" priority="173">
      <formula>$A36&lt;&gt;""</formula>
    </cfRule>
  </conditionalFormatting>
  <conditionalFormatting sqref="B11:B26">
    <cfRule type="duplicateValues" dxfId="475" priority="141"/>
    <cfRule type="duplicateValues" dxfId="474" priority="140"/>
    <cfRule type="duplicateValues" dxfId="473" priority="139"/>
    <cfRule type="duplicateValues" dxfId="472" priority="138"/>
    <cfRule type="duplicateValues" dxfId="471" priority="137"/>
  </conditionalFormatting>
  <conditionalFormatting sqref="B30:B31">
    <cfRule type="expression" dxfId="470" priority="88">
      <formula>$D30&lt;&gt;""</formula>
    </cfRule>
    <cfRule type="expression" dxfId="469" priority="87">
      <formula>$B770&lt;&gt;""</formula>
    </cfRule>
    <cfRule type="expression" dxfId="468" priority="86">
      <formula>$B30&lt;&gt;""</formula>
    </cfRule>
  </conditionalFormatting>
  <conditionalFormatting sqref="B33:B36">
    <cfRule type="expression" dxfId="467" priority="61">
      <formula>$D33&lt;&gt;""</formula>
    </cfRule>
    <cfRule type="expression" dxfId="466" priority="60">
      <formula>$B773&lt;&gt;""</formula>
    </cfRule>
    <cfRule type="expression" dxfId="465" priority="59">
      <formula>$B33&lt;&gt;""</formula>
    </cfRule>
  </conditionalFormatting>
  <conditionalFormatting sqref="C11:C16">
    <cfRule type="expression" dxfId="464" priority="136">
      <formula>#REF!&lt;&gt;""</formula>
    </cfRule>
  </conditionalFormatting>
  <conditionalFormatting sqref="C17:C23">
    <cfRule type="expression" dxfId="463" priority="58">
      <formula>#REF!&lt;&gt;""</formula>
    </cfRule>
  </conditionalFormatting>
  <conditionalFormatting sqref="C24:C30">
    <cfRule type="expression" dxfId="462" priority="40">
      <formula>#REF!&lt;&gt;""</formula>
    </cfRule>
  </conditionalFormatting>
  <conditionalFormatting sqref="D17:D19">
    <cfRule type="expression" dxfId="461" priority="168">
      <formula>#REF!&lt;&gt;""</formula>
    </cfRule>
  </conditionalFormatting>
  <conditionalFormatting sqref="Q30:Q33">
    <cfRule type="expression" dxfId="460" priority="74">
      <formula>$A30&lt;&gt;""</formula>
    </cfRule>
  </conditionalFormatting>
  <conditionalFormatting sqref="O13 R13 G15:S15">
    <cfRule type="expression" dxfId="459" priority="164">
      <formula>$B13&lt;&gt;""</formula>
    </cfRule>
  </conditionalFormatting>
  <conditionalFormatting sqref="G14:N14 P14:Q14 S14 U14:Y14 W20:W21 W24:W25">
    <cfRule type="expression" dxfId="458" priority="166">
      <formula>$B14&lt;&gt;""</formula>
    </cfRule>
  </conditionalFormatting>
  <conditionalFormatting sqref="E20 O20:P20 S20:V20 X20:Y20">
    <cfRule type="expression" dxfId="457" priority="161">
      <formula>$B20&lt;&gt;""</formula>
    </cfRule>
  </conditionalFormatting>
  <conditionalFormatting sqref="D26:E26 G26 I26:N26 P26">
    <cfRule type="expression" dxfId="456" priority="148">
      <formula>$B26&lt;&gt;""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1342"/>
  <sheetViews>
    <sheetView showGridLines="0" zoomScale="80" zoomScaleNormal="80" workbookViewId="0">
      <pane xSplit="6" ySplit="2" topLeftCell="G3" activePane="bottomRight" state="frozen"/>
      <selection pane="topRight"/>
      <selection pane="bottomLeft"/>
      <selection pane="bottomRight" activeCell="G43" sqref="G43"/>
    </sheetView>
  </sheetViews>
  <sheetFormatPr defaultColWidth="8.77734375" defaultRowHeight="15.6" x14ac:dyDescent="0.3"/>
  <cols>
    <col min="1" max="1" width="8.77734375" style="5"/>
    <col min="2" max="2" width="13" style="6" customWidth="1"/>
    <col min="3" max="3" width="21.21875" style="7" customWidth="1"/>
    <col min="4" max="4" width="11.88671875" style="7" customWidth="1"/>
    <col min="5" max="5" width="5.44140625" style="7" customWidth="1"/>
    <col min="6" max="6" width="7.77734375" style="6" customWidth="1"/>
    <col min="7" max="10" width="8.44140625" style="8" customWidth="1"/>
    <col min="11" max="11" width="6.44140625" style="8" customWidth="1"/>
    <col min="12" max="12" width="7.44140625" style="8" customWidth="1"/>
    <col min="13" max="13" width="6.21875" style="8" customWidth="1"/>
    <col min="14" max="14" width="7.6640625" style="8" customWidth="1"/>
    <col min="15" max="15" width="7.21875" style="8" customWidth="1"/>
    <col min="16" max="16" width="7.6640625" style="8" customWidth="1"/>
    <col min="17" max="17" width="7.21875" style="8" customWidth="1"/>
    <col min="18" max="18" width="8" style="8" customWidth="1"/>
    <col min="19" max="19" width="7.77734375" style="8" customWidth="1"/>
    <col min="20" max="20" width="7.33203125" style="8" customWidth="1"/>
    <col min="21" max="21" width="6.33203125" style="8" customWidth="1"/>
    <col min="22" max="22" width="7.33203125" style="8" customWidth="1"/>
    <col min="23" max="23" width="7.44140625" style="8" customWidth="1"/>
    <col min="24" max="24" width="6.5546875" style="8" customWidth="1"/>
    <col min="25" max="25" width="6.77734375" style="8" customWidth="1"/>
    <col min="26" max="26" width="6.6640625" style="8" customWidth="1"/>
    <col min="27" max="27" width="7.44140625" style="9" customWidth="1"/>
    <col min="28" max="28" width="7.21875" style="10" customWidth="1"/>
    <col min="29" max="29" width="8.77734375" style="7" customWidth="1"/>
    <col min="30" max="30" width="13.77734375" style="7"/>
    <col min="31" max="16384" width="8.77734375" style="7"/>
  </cols>
  <sheetData>
    <row r="1" spans="1:29" s="1" customFormat="1" x14ac:dyDescent="0.25">
      <c r="B1" s="11"/>
      <c r="C1" s="12"/>
      <c r="E1" s="13"/>
      <c r="F1" s="11"/>
      <c r="G1" s="14">
        <v>0.8</v>
      </c>
      <c r="H1" s="15">
        <v>0.8</v>
      </c>
      <c r="I1" s="14">
        <v>0.8</v>
      </c>
      <c r="J1" s="14">
        <v>0.8</v>
      </c>
      <c r="K1" s="216" t="s">
        <v>0</v>
      </c>
      <c r="L1" s="217"/>
      <c r="M1" s="218"/>
      <c r="N1" s="75"/>
      <c r="O1" s="76"/>
      <c r="P1" s="77">
        <v>1.02</v>
      </c>
      <c r="Q1" s="77"/>
      <c r="R1" s="77"/>
      <c r="S1" s="77">
        <v>1.02</v>
      </c>
      <c r="T1" s="77"/>
      <c r="U1" s="77"/>
      <c r="V1" s="77"/>
      <c r="W1" s="104">
        <v>2E-3</v>
      </c>
      <c r="X1" s="105">
        <v>0.8</v>
      </c>
      <c r="Y1" s="105">
        <v>0.9</v>
      </c>
      <c r="Z1" s="77"/>
      <c r="AA1" s="141"/>
    </row>
    <row r="2" spans="1:29" s="1" customFormat="1" ht="57.6" x14ac:dyDescent="0.25">
      <c r="A2" s="16" t="s">
        <v>1</v>
      </c>
      <c r="B2" s="16" t="s">
        <v>2</v>
      </c>
      <c r="C2" s="17" t="s">
        <v>3</v>
      </c>
      <c r="D2" s="17" t="s">
        <v>4</v>
      </c>
      <c r="E2" s="17" t="s">
        <v>5</v>
      </c>
      <c r="F2" s="18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78" t="s">
        <v>127</v>
      </c>
      <c r="P2" s="78" t="s">
        <v>128</v>
      </c>
      <c r="Q2" s="19" t="s">
        <v>17</v>
      </c>
      <c r="R2" s="78" t="s">
        <v>129</v>
      </c>
      <c r="S2" s="78" t="s">
        <v>130</v>
      </c>
      <c r="T2" s="106" t="s">
        <v>131</v>
      </c>
      <c r="U2" s="107" t="s">
        <v>6</v>
      </c>
      <c r="V2" s="19" t="s">
        <v>21</v>
      </c>
      <c r="W2" s="19" t="s">
        <v>22</v>
      </c>
      <c r="X2" s="19" t="s">
        <v>23</v>
      </c>
      <c r="Y2" s="19" t="s">
        <v>24</v>
      </c>
      <c r="Z2" s="142" t="s">
        <v>25</v>
      </c>
      <c r="AA2" s="143" t="s">
        <v>26</v>
      </c>
      <c r="AB2" s="144"/>
    </row>
    <row r="3" spans="1:29" s="2" customFormat="1" ht="16.95" customHeight="1" x14ac:dyDescent="0.25">
      <c r="A3" s="20">
        <v>45766</v>
      </c>
      <c r="B3" s="21" t="s">
        <v>132</v>
      </c>
      <c r="C3" s="22" t="s">
        <v>133</v>
      </c>
      <c r="D3" s="23" t="s">
        <v>134</v>
      </c>
      <c r="E3" s="24">
        <v>1</v>
      </c>
      <c r="F3" s="25">
        <v>300</v>
      </c>
      <c r="G3" s="26">
        <f>555.2/G$1</f>
        <v>694</v>
      </c>
      <c r="H3" s="27">
        <f>540/0.8</f>
        <v>675</v>
      </c>
      <c r="I3" s="26">
        <f>0/I$1</f>
        <v>0</v>
      </c>
      <c r="J3" s="67">
        <f>717/J$1</f>
        <v>896.25</v>
      </c>
      <c r="K3" s="79">
        <v>66</v>
      </c>
      <c r="L3" s="79">
        <f>30*60*1.05/2</f>
        <v>945</v>
      </c>
      <c r="M3" s="80">
        <v>180</v>
      </c>
      <c r="N3" s="80">
        <f t="shared" ref="N3:N66" si="0">SUM(G3:M3)</f>
        <v>3456.25</v>
      </c>
      <c r="O3" s="81">
        <v>34.299999999999997</v>
      </c>
      <c r="P3" s="81">
        <f>ROUND((O3*N3/3600)*$P$1,2)</f>
        <v>33.590000000000003</v>
      </c>
      <c r="Q3" s="81">
        <v>633.4</v>
      </c>
      <c r="R3" s="26">
        <v>162.80000000000001</v>
      </c>
      <c r="S3" s="81">
        <f>ROUND((R3*Q3/3600)*$S$1,2)</f>
        <v>29.22</v>
      </c>
      <c r="T3" s="108">
        <f t="shared" ref="T3:T66" si="1">SUM(P3,S3)</f>
        <v>62.81</v>
      </c>
      <c r="U3" s="23">
        <v>1000</v>
      </c>
      <c r="V3" s="109">
        <f>1131.035158</f>
        <v>1131.0351579999999</v>
      </c>
      <c r="W3" s="110">
        <f>V3*$W$1</f>
        <v>2.262070316</v>
      </c>
      <c r="X3" s="111">
        <f>ROUNDUP(P3*1.2,2)</f>
        <v>40.31</v>
      </c>
      <c r="Y3" s="111">
        <f>ROUNDUP(P3*1,2)</f>
        <v>33.590000000000003</v>
      </c>
      <c r="Z3" s="145">
        <f t="shared" ref="Z3:Z66" si="2">ROUNDUP(SUM(T3,W3:Y3),2)</f>
        <v>138.97999999999999</v>
      </c>
      <c r="AA3" s="113">
        <v>2958</v>
      </c>
      <c r="AB3" s="146"/>
      <c r="AC3" s="147"/>
    </row>
    <row r="4" spans="1:29" s="2" customFormat="1" ht="16.95" customHeight="1" x14ac:dyDescent="0.25">
      <c r="A4" s="20">
        <v>45766</v>
      </c>
      <c r="B4" s="21" t="s">
        <v>135</v>
      </c>
      <c r="C4" s="22" t="s">
        <v>136</v>
      </c>
      <c r="D4" s="23" t="s">
        <v>134</v>
      </c>
      <c r="E4" s="28"/>
      <c r="F4" s="25">
        <v>1000</v>
      </c>
      <c r="G4" s="26">
        <f>612/G$1</f>
        <v>765</v>
      </c>
      <c r="H4" s="26">
        <f>540/0.8</f>
        <v>675</v>
      </c>
      <c r="I4" s="26">
        <f>(85)/I$1</f>
        <v>106.25</v>
      </c>
      <c r="J4" s="67">
        <f>375/J$1</f>
        <v>468.75</v>
      </c>
      <c r="K4" s="79">
        <v>120</v>
      </c>
      <c r="L4" s="79">
        <f>15*1.1*60/2</f>
        <v>495</v>
      </c>
      <c r="M4" s="80">
        <v>180</v>
      </c>
      <c r="N4" s="80">
        <f t="shared" si="0"/>
        <v>2810</v>
      </c>
      <c r="O4" s="81">
        <v>34.299999999999997</v>
      </c>
      <c r="P4" s="81">
        <f t="shared" ref="P4:P8" si="3">ROUND((O4*N4/3600)*1.02,2)</f>
        <v>27.31</v>
      </c>
      <c r="Q4" s="81">
        <v>950</v>
      </c>
      <c r="R4" s="26">
        <v>162.80000000000001</v>
      </c>
      <c r="S4" s="81">
        <f t="shared" ref="S4:S8" si="4">ROUND((R4*Q4/3600)*1.02,2)</f>
        <v>43.82</v>
      </c>
      <c r="T4" s="108">
        <f t="shared" si="1"/>
        <v>71.13</v>
      </c>
      <c r="U4" s="23">
        <v>1000</v>
      </c>
      <c r="V4" s="109">
        <v>1094.14736528</v>
      </c>
      <c r="W4" s="110">
        <f>V4*$W$1</f>
        <v>2.18829473056</v>
      </c>
      <c r="X4" s="112">
        <f>ROUNDUP(P4*$X$1,2)</f>
        <v>21.85</v>
      </c>
      <c r="Y4" s="148">
        <f>ROUNDUP(P4*$Y$1,2)</f>
        <v>24.58</v>
      </c>
      <c r="Z4" s="145">
        <f t="shared" si="2"/>
        <v>119.75</v>
      </c>
      <c r="AA4" s="113">
        <v>2511</v>
      </c>
      <c r="AB4" s="149"/>
      <c r="AC4" s="147"/>
    </row>
    <row r="5" spans="1:29" s="2" customFormat="1" ht="16.95" customHeight="1" x14ac:dyDescent="0.25">
      <c r="A5" s="20">
        <v>45766</v>
      </c>
      <c r="B5" s="21" t="s">
        <v>137</v>
      </c>
      <c r="C5" s="22" t="s">
        <v>138</v>
      </c>
      <c r="D5" s="29" t="s">
        <v>139</v>
      </c>
      <c r="E5" s="24">
        <v>1</v>
      </c>
      <c r="F5" s="30">
        <v>500</v>
      </c>
      <c r="G5" s="26">
        <f>731.88/G$1</f>
        <v>914.85</v>
      </c>
      <c r="H5" s="26">
        <f>0/0.95</f>
        <v>0</v>
      </c>
      <c r="I5" s="26">
        <f>(0+630)/I$1</f>
        <v>787.5</v>
      </c>
      <c r="J5" s="26">
        <f>498/J$1</f>
        <v>622.5</v>
      </c>
      <c r="K5" s="80">
        <v>150</v>
      </c>
      <c r="L5" s="79">
        <f>40*1.1*60/2</f>
        <v>1320</v>
      </c>
      <c r="M5" s="80">
        <v>180</v>
      </c>
      <c r="N5" s="80">
        <f t="shared" si="0"/>
        <v>3974.85</v>
      </c>
      <c r="O5" s="81">
        <v>34.299999999999997</v>
      </c>
      <c r="P5" s="81">
        <f>ROUND((O5*N5/3600)*1.05,2)</f>
        <v>39.770000000000003</v>
      </c>
      <c r="Q5" s="80">
        <v>1175.8399999999999</v>
      </c>
      <c r="R5" s="26">
        <v>162.80000000000001</v>
      </c>
      <c r="S5" s="81">
        <f>ROUND((R5*Q5/3600)*1.05,2)</f>
        <v>55.83</v>
      </c>
      <c r="T5" s="108">
        <f t="shared" si="1"/>
        <v>95.6</v>
      </c>
      <c r="U5" s="23">
        <v>1200</v>
      </c>
      <c r="V5" s="113">
        <f>2457</f>
        <v>2457</v>
      </c>
      <c r="W5" s="110">
        <f>V5*$W$1</f>
        <v>4.9139999999999997</v>
      </c>
      <c r="X5" s="112">
        <f>ROUNDUP(P5*1,2)</f>
        <v>39.770000000000003</v>
      </c>
      <c r="Y5" s="112">
        <f>ROUNDUP(P5*1.2,2)</f>
        <v>47.73</v>
      </c>
      <c r="Z5" s="150">
        <f t="shared" si="2"/>
        <v>188.02</v>
      </c>
      <c r="AA5" s="113"/>
      <c r="AB5" s="149"/>
      <c r="AC5" s="147"/>
    </row>
    <row r="6" spans="1:29" s="2" customFormat="1" ht="16.95" customHeight="1" x14ac:dyDescent="0.25">
      <c r="A6" s="20">
        <v>45766</v>
      </c>
      <c r="B6" s="31" t="s">
        <v>140</v>
      </c>
      <c r="C6" s="32" t="s">
        <v>141</v>
      </c>
      <c r="D6" s="23" t="s">
        <v>142</v>
      </c>
      <c r="E6" s="24">
        <v>4</v>
      </c>
      <c r="F6" s="30">
        <f>12000/4</f>
        <v>3000</v>
      </c>
      <c r="G6" s="26">
        <f>87.075/0.8</f>
        <v>108.84375</v>
      </c>
      <c r="H6" s="26">
        <v>0</v>
      </c>
      <c r="I6" s="26">
        <f>(38.5+23)/I$1</f>
        <v>76.875</v>
      </c>
      <c r="J6" s="26">
        <f>112/0.8</f>
        <v>140</v>
      </c>
      <c r="K6" s="80">
        <v>0</v>
      </c>
      <c r="L6" s="79">
        <v>380</v>
      </c>
      <c r="M6" s="82">
        <v>100</v>
      </c>
      <c r="N6" s="80">
        <f t="shared" si="0"/>
        <v>805.71875</v>
      </c>
      <c r="O6" s="81">
        <v>34.299999999999997</v>
      </c>
      <c r="P6" s="81">
        <f t="shared" si="3"/>
        <v>7.83</v>
      </c>
      <c r="Q6" s="80">
        <v>77.474999999999994</v>
      </c>
      <c r="R6" s="26">
        <v>162.80000000000001</v>
      </c>
      <c r="S6" s="81">
        <f t="shared" si="4"/>
        <v>3.57</v>
      </c>
      <c r="T6" s="108">
        <f t="shared" si="1"/>
        <v>11.4</v>
      </c>
      <c r="U6" s="23">
        <v>5000</v>
      </c>
      <c r="V6" s="114">
        <v>134.73688591999999</v>
      </c>
      <c r="W6" s="110">
        <f t="shared" ref="W6:W8" si="5">V6*0.002</f>
        <v>0.26947377183999999</v>
      </c>
      <c r="X6" s="112">
        <f t="shared" ref="X6:X11" si="6">ROUNDUP(P6*$X$1,2)</f>
        <v>6.27</v>
      </c>
      <c r="Y6" s="112">
        <f t="shared" ref="Y6:Y11" si="7">ROUNDUP(P6*0.9,2)</f>
        <v>7.05</v>
      </c>
      <c r="Z6" s="145">
        <f t="shared" si="2"/>
        <v>24.99</v>
      </c>
      <c r="AA6" s="151">
        <v>273</v>
      </c>
      <c r="AB6" s="149"/>
      <c r="AC6" s="147"/>
    </row>
    <row r="7" spans="1:29" s="2" customFormat="1" ht="16.95" customHeight="1" x14ac:dyDescent="0.25">
      <c r="A7" s="20">
        <v>45766</v>
      </c>
      <c r="B7" s="20" t="s">
        <v>143</v>
      </c>
      <c r="C7" s="32" t="s">
        <v>144</v>
      </c>
      <c r="D7" s="29" t="s">
        <v>145</v>
      </c>
      <c r="E7" s="24">
        <v>1</v>
      </c>
      <c r="F7" s="30">
        <f>7300/E7</f>
        <v>7300</v>
      </c>
      <c r="G7" s="26">
        <f>315.4/0.8</f>
        <v>394.25</v>
      </c>
      <c r="H7" s="26">
        <v>0</v>
      </c>
      <c r="I7" s="26">
        <f>(35)/I$1</f>
        <v>43.75</v>
      </c>
      <c r="J7" s="26">
        <f>135/0.8</f>
        <v>168.75</v>
      </c>
      <c r="K7" s="80">
        <v>0</v>
      </c>
      <c r="L7" s="79">
        <v>580</v>
      </c>
      <c r="M7" s="82">
        <v>180</v>
      </c>
      <c r="N7" s="80">
        <f t="shared" si="0"/>
        <v>1366.75</v>
      </c>
      <c r="O7" s="81">
        <v>34.299999999999997</v>
      </c>
      <c r="P7" s="81">
        <f t="shared" si="3"/>
        <v>13.28</v>
      </c>
      <c r="Q7" s="80">
        <v>261.3</v>
      </c>
      <c r="R7" s="26">
        <v>162.80000000000001</v>
      </c>
      <c r="S7" s="81">
        <f t="shared" si="4"/>
        <v>12.05</v>
      </c>
      <c r="T7" s="108">
        <f t="shared" si="1"/>
        <v>25.33</v>
      </c>
      <c r="U7" s="23">
        <v>2650</v>
      </c>
      <c r="V7" s="114">
        <v>102.787862344</v>
      </c>
      <c r="W7" s="110">
        <f t="shared" si="5"/>
        <v>0.20557572468800001</v>
      </c>
      <c r="X7" s="111">
        <f>ROUNDUP(P7*0.6,2)</f>
        <v>7.97</v>
      </c>
      <c r="Y7" s="111">
        <f>ROUNDUP(P7*0.6,2)</f>
        <v>7.97</v>
      </c>
      <c r="Z7" s="145">
        <f t="shared" si="2"/>
        <v>41.48</v>
      </c>
      <c r="AA7" s="151">
        <v>184</v>
      </c>
      <c r="AB7" s="149"/>
      <c r="AC7" s="147"/>
    </row>
    <row r="8" spans="1:29" s="2" customFormat="1" ht="16.95" customHeight="1" x14ac:dyDescent="0.25">
      <c r="A8" s="20">
        <v>45766</v>
      </c>
      <c r="B8" s="20" t="s">
        <v>146</v>
      </c>
      <c r="C8" s="32" t="s">
        <v>147</v>
      </c>
      <c r="D8" s="29" t="s">
        <v>148</v>
      </c>
      <c r="E8" s="24">
        <v>4</v>
      </c>
      <c r="F8" s="30">
        <f>12000/E8</f>
        <v>3000</v>
      </c>
      <c r="G8" s="26">
        <f>115.263157894737/0.8</f>
        <v>144.07894736842101</v>
      </c>
      <c r="H8" s="26">
        <f>150.428571428571/0.95</f>
        <v>158.34586466165399</v>
      </c>
      <c r="I8" s="26">
        <f>(28)/I$1</f>
        <v>35</v>
      </c>
      <c r="J8" s="26">
        <f>90/0.8</f>
        <v>112.5</v>
      </c>
      <c r="K8" s="80">
        <v>0</v>
      </c>
      <c r="L8" s="79">
        <v>245</v>
      </c>
      <c r="M8" s="82">
        <v>100</v>
      </c>
      <c r="N8" s="80">
        <f t="shared" si="0"/>
        <v>794.92481203007503</v>
      </c>
      <c r="O8" s="81">
        <v>34.299999999999997</v>
      </c>
      <c r="P8" s="81">
        <f t="shared" si="3"/>
        <v>7.73</v>
      </c>
      <c r="Q8" s="80">
        <v>123.924812030075</v>
      </c>
      <c r="R8" s="26">
        <v>162.80000000000001</v>
      </c>
      <c r="S8" s="81">
        <f t="shared" si="4"/>
        <v>5.72</v>
      </c>
      <c r="T8" s="108">
        <f t="shared" si="1"/>
        <v>13.45</v>
      </c>
      <c r="U8" s="23">
        <v>14000</v>
      </c>
      <c r="V8" s="114">
        <v>135.90102473600001</v>
      </c>
      <c r="W8" s="110">
        <f t="shared" si="5"/>
        <v>0.27180204947199998</v>
      </c>
      <c r="X8" s="112">
        <f>ROUNDUP(P8*0.8,2)</f>
        <v>6.19</v>
      </c>
      <c r="Y8" s="112">
        <f t="shared" si="7"/>
        <v>6.96</v>
      </c>
      <c r="Z8" s="145">
        <f t="shared" si="2"/>
        <v>26.88</v>
      </c>
      <c r="AA8" s="151">
        <v>402</v>
      </c>
      <c r="AB8" s="149"/>
      <c r="AC8" s="147"/>
    </row>
    <row r="9" spans="1:29" s="2" customFormat="1" ht="16.95" customHeight="1" x14ac:dyDescent="0.25">
      <c r="A9" s="20">
        <v>45766</v>
      </c>
      <c r="B9" s="33" t="s">
        <v>149</v>
      </c>
      <c r="C9" s="34" t="s">
        <v>150</v>
      </c>
      <c r="D9" s="35" t="s">
        <v>151</v>
      </c>
      <c r="E9" s="36">
        <v>4</v>
      </c>
      <c r="F9" s="37">
        <v>4200</v>
      </c>
      <c r="G9" s="38">
        <f>193.05/G$1</f>
        <v>241.3125</v>
      </c>
      <c r="H9" s="213" t="s">
        <v>152</v>
      </c>
      <c r="I9" s="38">
        <f>27.5/I$1</f>
        <v>34.375</v>
      </c>
      <c r="J9" s="38">
        <f>296/J$1</f>
        <v>370</v>
      </c>
      <c r="K9" s="214" t="s">
        <v>152</v>
      </c>
      <c r="L9" s="84">
        <f>695/2</f>
        <v>347.5</v>
      </c>
      <c r="M9" s="85">
        <v>60</v>
      </c>
      <c r="N9" s="85">
        <f t="shared" si="0"/>
        <v>1053.1875</v>
      </c>
      <c r="O9" s="86">
        <v>34.299999999999997</v>
      </c>
      <c r="P9" s="86">
        <f>ROUND((O9*N9/3600)*1,2)</f>
        <v>10.029999999999999</v>
      </c>
      <c r="Q9" s="85">
        <v>186.8</v>
      </c>
      <c r="R9" s="38">
        <v>162.80000000000001</v>
      </c>
      <c r="S9" s="86">
        <f>ROUND((R9*Q9/3600)*1,2)</f>
        <v>8.4499999999999993</v>
      </c>
      <c r="T9" s="108">
        <f t="shared" si="1"/>
        <v>18.48</v>
      </c>
      <c r="U9" s="23">
        <v>507</v>
      </c>
      <c r="V9" s="115">
        <v>106.83284176799999</v>
      </c>
      <c r="W9" s="116">
        <f>V9*0.004</f>
        <v>0.42733136707199998</v>
      </c>
      <c r="X9" s="117">
        <f>ROUNDUP(P9*0.8,2)</f>
        <v>8.0299999999999994</v>
      </c>
      <c r="Y9" s="117">
        <f>ROUNDUP(P9*0.6,2)</f>
        <v>6.02</v>
      </c>
      <c r="Z9" s="152">
        <f t="shared" si="2"/>
        <v>32.96</v>
      </c>
      <c r="AA9" s="153">
        <v>152</v>
      </c>
      <c r="AB9" s="149"/>
      <c r="AC9" s="147"/>
    </row>
    <row r="10" spans="1:29" s="2" customFormat="1" ht="16.95" customHeight="1" x14ac:dyDescent="0.25">
      <c r="A10" s="20">
        <v>45766</v>
      </c>
      <c r="B10" s="20" t="s">
        <v>153</v>
      </c>
      <c r="C10" s="32" t="s">
        <v>154</v>
      </c>
      <c r="D10" s="29" t="s">
        <v>155</v>
      </c>
      <c r="E10" s="24">
        <v>4</v>
      </c>
      <c r="F10" s="30">
        <f>4000/E10</f>
        <v>1000</v>
      </c>
      <c r="G10" s="26">
        <f>63.85/0.8</f>
        <v>79.8125</v>
      </c>
      <c r="H10" s="26">
        <f>94.5/0.95</f>
        <v>99.473684210526301</v>
      </c>
      <c r="I10" s="26">
        <f>(22)/I$1</f>
        <v>27.5</v>
      </c>
      <c r="J10" s="26">
        <f>99/0.8</f>
        <v>123.75</v>
      </c>
      <c r="K10" s="80">
        <v>0</v>
      </c>
      <c r="L10" s="79">
        <v>210</v>
      </c>
      <c r="M10" s="82">
        <v>100</v>
      </c>
      <c r="N10" s="80">
        <f t="shared" si="0"/>
        <v>640.53618421052602</v>
      </c>
      <c r="O10" s="81">
        <v>34.299999999999997</v>
      </c>
      <c r="P10" s="81">
        <f t="shared" ref="P10:P24" si="8">ROUND((O10*N10/3600)*1.02,2)</f>
        <v>6.22</v>
      </c>
      <c r="Q10" s="80">
        <v>92.387500000000003</v>
      </c>
      <c r="R10" s="26">
        <v>162.80000000000001</v>
      </c>
      <c r="S10" s="81">
        <f t="shared" ref="S10:S24" si="9">ROUND((R10*Q10/3600)*1.02,2)</f>
        <v>4.26</v>
      </c>
      <c r="T10" s="108">
        <f t="shared" si="1"/>
        <v>10.48</v>
      </c>
      <c r="U10" s="23">
        <v>6400</v>
      </c>
      <c r="V10" s="114">
        <v>29.201943176</v>
      </c>
      <c r="W10" s="110">
        <f t="shared" ref="W10:W18" si="10">V10*0.002</f>
        <v>5.8403886352000001E-2</v>
      </c>
      <c r="X10" s="112">
        <f t="shared" si="6"/>
        <v>4.9800000000000004</v>
      </c>
      <c r="Y10" s="112">
        <f t="shared" si="7"/>
        <v>5.6</v>
      </c>
      <c r="Z10" s="145">
        <f t="shared" si="2"/>
        <v>21.12</v>
      </c>
      <c r="AA10" s="151">
        <v>152</v>
      </c>
      <c r="AB10" s="149"/>
      <c r="AC10" s="147"/>
    </row>
    <row r="11" spans="1:29" s="2" customFormat="1" ht="16.95" customHeight="1" x14ac:dyDescent="0.25">
      <c r="A11" s="20">
        <v>45766</v>
      </c>
      <c r="B11" s="20" t="s">
        <v>156</v>
      </c>
      <c r="C11" s="32" t="s">
        <v>157</v>
      </c>
      <c r="D11" s="29" t="s">
        <v>158</v>
      </c>
      <c r="E11" s="24">
        <v>4</v>
      </c>
      <c r="F11" s="30">
        <f>4000/E11</f>
        <v>1000</v>
      </c>
      <c r="G11" s="26">
        <f>121.38/0.8</f>
        <v>151.72499999999999</v>
      </c>
      <c r="H11" s="26">
        <f>167.14/0.95</f>
        <v>175.936842105263</v>
      </c>
      <c r="I11" s="26">
        <f>(0)/I$1</f>
        <v>0</v>
      </c>
      <c r="J11" s="26">
        <f>90/0.8</f>
        <v>112.5</v>
      </c>
      <c r="K11" s="80">
        <v>0</v>
      </c>
      <c r="L11" s="79">
        <v>357</v>
      </c>
      <c r="M11" s="80">
        <v>60</v>
      </c>
      <c r="N11" s="80">
        <f t="shared" si="0"/>
        <v>857.16184210526296</v>
      </c>
      <c r="O11" s="81">
        <v>34.299999999999997</v>
      </c>
      <c r="P11" s="81">
        <f t="shared" si="8"/>
        <v>8.33</v>
      </c>
      <c r="Q11" s="80">
        <v>130.04323308270699</v>
      </c>
      <c r="R11" s="26">
        <v>162.80000000000001</v>
      </c>
      <c r="S11" s="81">
        <f t="shared" si="9"/>
        <v>6</v>
      </c>
      <c r="T11" s="108">
        <f t="shared" si="1"/>
        <v>14.33</v>
      </c>
      <c r="U11" s="23">
        <v>1100</v>
      </c>
      <c r="V11" s="114">
        <v>176.01095695999999</v>
      </c>
      <c r="W11" s="110">
        <f t="shared" si="10"/>
        <v>0.35202191391999998</v>
      </c>
      <c r="X11" s="112">
        <f t="shared" si="6"/>
        <v>6.67</v>
      </c>
      <c r="Y11" s="112">
        <f t="shared" si="7"/>
        <v>7.5</v>
      </c>
      <c r="Z11" s="145">
        <f t="shared" si="2"/>
        <v>28.86</v>
      </c>
      <c r="AA11" s="113">
        <v>393</v>
      </c>
      <c r="AB11" s="149"/>
      <c r="AC11" s="147"/>
    </row>
    <row r="12" spans="1:29" s="2" customFormat="1" ht="16.95" customHeight="1" x14ac:dyDescent="0.25">
      <c r="A12" s="20">
        <v>45766</v>
      </c>
      <c r="B12" s="20" t="s">
        <v>159</v>
      </c>
      <c r="C12" s="32" t="s">
        <v>160</v>
      </c>
      <c r="D12" s="29" t="s">
        <v>161</v>
      </c>
      <c r="E12" s="24">
        <v>8</v>
      </c>
      <c r="F12" s="30">
        <f>7800/E12</f>
        <v>975</v>
      </c>
      <c r="G12" s="26">
        <f>82.35/0.8</f>
        <v>102.9375</v>
      </c>
      <c r="H12" s="26">
        <v>0</v>
      </c>
      <c r="I12" s="26">
        <f>(15.75)/I$1</f>
        <v>19.6875</v>
      </c>
      <c r="J12" s="26">
        <f>66/0.8</f>
        <v>82.5</v>
      </c>
      <c r="K12" s="80">
        <v>0</v>
      </c>
      <c r="L12" s="79">
        <v>280</v>
      </c>
      <c r="M12" s="80">
        <v>60</v>
      </c>
      <c r="N12" s="80">
        <f t="shared" si="0"/>
        <v>545.125</v>
      </c>
      <c r="O12" s="81">
        <v>34.299999999999997</v>
      </c>
      <c r="P12" s="87">
        <f>ROUND((O12*N12/3600)*1.05,2)</f>
        <v>5.45</v>
      </c>
      <c r="Q12" s="80">
        <v>98.0625</v>
      </c>
      <c r="R12" s="26">
        <v>162.80000000000001</v>
      </c>
      <c r="S12" s="87">
        <f>ROUND((R12*Q12/3600)*1.05,2)</f>
        <v>4.66</v>
      </c>
      <c r="T12" s="108">
        <f t="shared" si="1"/>
        <v>10.11</v>
      </c>
      <c r="U12" s="23">
        <v>2498</v>
      </c>
      <c r="V12" s="114">
        <v>126.693925216</v>
      </c>
      <c r="W12" s="110">
        <f t="shared" si="10"/>
        <v>0.25338785043200002</v>
      </c>
      <c r="X12" s="111">
        <f>ROUNDUP(P12*1,2)</f>
        <v>5.45</v>
      </c>
      <c r="Y12" s="111">
        <f>ROUNDUP(P12*1.2,2)</f>
        <v>6.54</v>
      </c>
      <c r="Z12" s="145">
        <f t="shared" si="2"/>
        <v>22.36</v>
      </c>
      <c r="AA12" s="151">
        <v>223</v>
      </c>
      <c r="AB12" s="149"/>
      <c r="AC12" s="147"/>
    </row>
    <row r="13" spans="1:29" s="2" customFormat="1" ht="16.95" customHeight="1" x14ac:dyDescent="0.3">
      <c r="A13" s="20">
        <v>45766</v>
      </c>
      <c r="B13" s="39" t="s">
        <v>162</v>
      </c>
      <c r="C13" s="23" t="s">
        <v>163</v>
      </c>
      <c r="D13" s="23" t="s">
        <v>164</v>
      </c>
      <c r="E13" s="24">
        <v>4</v>
      </c>
      <c r="F13" s="25">
        <v>500</v>
      </c>
      <c r="G13" s="26">
        <f>52.95/G$1</f>
        <v>66.1875</v>
      </c>
      <c r="H13" s="26">
        <f t="shared" ref="H13:H18" si="11">0/H$1</f>
        <v>0</v>
      </c>
      <c r="I13" s="26">
        <f>16.5/I$1</f>
        <v>20.625</v>
      </c>
      <c r="J13" s="67">
        <f>74.25/J$1</f>
        <v>92.8125</v>
      </c>
      <c r="K13" s="79">
        <v>0</v>
      </c>
      <c r="L13" s="79">
        <f>10*60*1.1</f>
        <v>660</v>
      </c>
      <c r="M13" s="80">
        <v>90</v>
      </c>
      <c r="N13" s="80">
        <f t="shared" si="0"/>
        <v>929.625</v>
      </c>
      <c r="O13" s="81">
        <v>34.299999999999997</v>
      </c>
      <c r="P13" s="88">
        <f>ROUND((O13*N13/3600)*1.1,2)</f>
        <v>9.74</v>
      </c>
      <c r="Q13" s="118">
        <v>84.83</v>
      </c>
      <c r="R13" s="26">
        <v>162.80000000000001</v>
      </c>
      <c r="S13" s="81">
        <f>ROUND((R13*Q13/3600)*1.1,2)</f>
        <v>4.22</v>
      </c>
      <c r="T13" s="108">
        <f t="shared" si="1"/>
        <v>13.96</v>
      </c>
      <c r="U13" s="119">
        <v>2355</v>
      </c>
      <c r="V13" s="109">
        <v>81.090081119999994</v>
      </c>
      <c r="W13" s="110">
        <f t="shared" si="10"/>
        <v>0.16218016224000001</v>
      </c>
      <c r="X13" s="120">
        <f>ROUNDUP(P13*1.2,2)</f>
        <v>11.69</v>
      </c>
      <c r="Y13" s="120">
        <f>ROUNDUP(P13*1,2)</f>
        <v>9.74</v>
      </c>
      <c r="Z13" s="145">
        <f t="shared" si="2"/>
        <v>35.56</v>
      </c>
      <c r="AA13" s="151">
        <v>181</v>
      </c>
      <c r="AB13" s="149"/>
      <c r="AC13" s="147"/>
    </row>
    <row r="14" spans="1:29" s="2" customFormat="1" ht="16.95" customHeight="1" x14ac:dyDescent="0.3">
      <c r="A14" s="20">
        <v>45766</v>
      </c>
      <c r="B14" s="40" t="s">
        <v>165</v>
      </c>
      <c r="C14" s="41" t="s">
        <v>166</v>
      </c>
      <c r="D14" s="42" t="s">
        <v>167</v>
      </c>
      <c r="E14" s="24">
        <v>2</v>
      </c>
      <c r="F14" s="25">
        <v>1500</v>
      </c>
      <c r="G14" s="26">
        <f>96.5/G$1</f>
        <v>120.625</v>
      </c>
      <c r="H14" s="26">
        <f t="shared" si="11"/>
        <v>0</v>
      </c>
      <c r="I14" s="26">
        <f>22/I$1</f>
        <v>27.5</v>
      </c>
      <c r="J14" s="67">
        <f>66/J$1</f>
        <v>82.5</v>
      </c>
      <c r="K14" s="79">
        <v>0</v>
      </c>
      <c r="L14" s="89">
        <f>8*1.1*60/2</f>
        <v>264</v>
      </c>
      <c r="M14" s="80">
        <v>60</v>
      </c>
      <c r="N14" s="80">
        <f t="shared" si="0"/>
        <v>554.625</v>
      </c>
      <c r="O14" s="81">
        <v>34.299999999999997</v>
      </c>
      <c r="P14" s="81">
        <f t="shared" si="8"/>
        <v>5.39</v>
      </c>
      <c r="Q14" s="118">
        <v>126.8</v>
      </c>
      <c r="R14" s="26">
        <v>162.80000000000001</v>
      </c>
      <c r="S14" s="81">
        <f t="shared" si="9"/>
        <v>5.85</v>
      </c>
      <c r="T14" s="108">
        <f t="shared" si="1"/>
        <v>11.24</v>
      </c>
      <c r="U14" s="119">
        <v>2340</v>
      </c>
      <c r="V14" s="109">
        <v>71.999024559999995</v>
      </c>
      <c r="W14" s="110">
        <f t="shared" si="10"/>
        <v>0.14399804912</v>
      </c>
      <c r="X14" s="120">
        <f t="shared" ref="X14:X17" si="12">ROUNDUP(P14*0.8,2)</f>
        <v>4.32</v>
      </c>
      <c r="Y14" s="120">
        <f t="shared" ref="Y14:Y17" si="13">ROUNDUP(P14*0.6,2)</f>
        <v>3.24</v>
      </c>
      <c r="Z14" s="145">
        <f t="shared" si="2"/>
        <v>18.95</v>
      </c>
      <c r="AA14" s="151">
        <v>142</v>
      </c>
      <c r="AB14" s="149"/>
      <c r="AC14" s="147"/>
    </row>
    <row r="15" spans="1:29" s="2" customFormat="1" ht="16.95" customHeight="1" x14ac:dyDescent="0.3">
      <c r="A15" s="20">
        <v>45766</v>
      </c>
      <c r="B15" s="43" t="s">
        <v>168</v>
      </c>
      <c r="C15" s="22" t="s">
        <v>169</v>
      </c>
      <c r="D15" s="44" t="s">
        <v>170</v>
      </c>
      <c r="E15" s="45">
        <v>3</v>
      </c>
      <c r="F15" s="46"/>
      <c r="G15" s="26">
        <f>132.83/G$1</f>
        <v>166.03749999999999</v>
      </c>
      <c r="H15" s="26">
        <f>202.67/0.95</f>
        <v>213.336842105263</v>
      </c>
      <c r="I15" s="26">
        <f>22/$I$1</f>
        <v>27.5</v>
      </c>
      <c r="J15" s="26">
        <f>128/J$1</f>
        <v>160</v>
      </c>
      <c r="K15" s="80">
        <v>0</v>
      </c>
      <c r="L15" s="89">
        <f>520/2</f>
        <v>260</v>
      </c>
      <c r="M15" s="80">
        <v>90</v>
      </c>
      <c r="N15" s="80">
        <f t="shared" si="0"/>
        <v>916.87434210526305</v>
      </c>
      <c r="O15" s="81">
        <v>34.299999999999997</v>
      </c>
      <c r="P15" s="81">
        <f t="shared" si="8"/>
        <v>8.91</v>
      </c>
      <c r="Q15" s="26">
        <v>199.4</v>
      </c>
      <c r="R15" s="26">
        <v>162.80000000000001</v>
      </c>
      <c r="S15" s="81">
        <f t="shared" si="9"/>
        <v>9.1999999999999993</v>
      </c>
      <c r="T15" s="108">
        <f t="shared" si="1"/>
        <v>18.11</v>
      </c>
      <c r="U15" s="119">
        <v>2352</v>
      </c>
      <c r="V15" s="109">
        <v>194.02982119999999</v>
      </c>
      <c r="W15" s="110">
        <f t="shared" si="10"/>
        <v>0.38805964240000002</v>
      </c>
      <c r="X15" s="121">
        <f t="shared" si="12"/>
        <v>7.13</v>
      </c>
      <c r="Y15" s="121">
        <f t="shared" si="13"/>
        <v>5.35</v>
      </c>
      <c r="Z15" s="145">
        <f t="shared" si="2"/>
        <v>30.98</v>
      </c>
      <c r="AA15" s="151">
        <v>392</v>
      </c>
      <c r="AB15" s="149"/>
      <c r="AC15" s="147"/>
    </row>
    <row r="16" spans="1:29" s="2" customFormat="1" ht="16.95" customHeight="1" x14ac:dyDescent="0.3">
      <c r="A16" s="20">
        <v>45766</v>
      </c>
      <c r="B16" s="47" t="s">
        <v>171</v>
      </c>
      <c r="C16" s="22" t="s">
        <v>172</v>
      </c>
      <c r="D16" s="44" t="s">
        <v>173</v>
      </c>
      <c r="E16" s="45">
        <v>2</v>
      </c>
      <c r="F16" s="46"/>
      <c r="G16" s="26">
        <f>71.05/G$1</f>
        <v>88.8125</v>
      </c>
      <c r="H16" s="26">
        <f>324/0.95</f>
        <v>341.052631578947</v>
      </c>
      <c r="I16" s="26">
        <f>33/$I$1</f>
        <v>41.25</v>
      </c>
      <c r="J16" s="26">
        <f>139/J$1</f>
        <v>173.75</v>
      </c>
      <c r="K16" s="80">
        <v>0</v>
      </c>
      <c r="L16" s="89">
        <f>760/2</f>
        <v>380</v>
      </c>
      <c r="M16" s="80">
        <v>90</v>
      </c>
      <c r="N16" s="80">
        <f t="shared" si="0"/>
        <v>1114.86513157895</v>
      </c>
      <c r="O16" s="81">
        <v>34.299999999999997</v>
      </c>
      <c r="P16" s="81">
        <f t="shared" si="8"/>
        <v>10.83</v>
      </c>
      <c r="Q16" s="26">
        <v>137.76315789473699</v>
      </c>
      <c r="R16" s="26">
        <v>162.80000000000001</v>
      </c>
      <c r="S16" s="81">
        <f t="shared" si="9"/>
        <v>6.35</v>
      </c>
      <c r="T16" s="108">
        <f t="shared" si="1"/>
        <v>17.18</v>
      </c>
      <c r="U16" s="119">
        <v>2351</v>
      </c>
      <c r="V16" s="109">
        <v>149.10713276800001</v>
      </c>
      <c r="W16" s="110">
        <f t="shared" si="10"/>
        <v>0.298214265536</v>
      </c>
      <c r="X16" s="121">
        <f t="shared" si="12"/>
        <v>8.67</v>
      </c>
      <c r="Y16" s="121">
        <f>ROUNDUP(P16*0.9,2)</f>
        <v>9.75</v>
      </c>
      <c r="Z16" s="145">
        <f t="shared" si="2"/>
        <v>35.9</v>
      </c>
      <c r="AA16" s="151">
        <v>108</v>
      </c>
      <c r="AB16" s="149"/>
      <c r="AC16" s="147"/>
    </row>
    <row r="17" spans="1:29" s="2" customFormat="1" ht="16.95" customHeight="1" x14ac:dyDescent="0.3">
      <c r="A17" s="20">
        <v>45766</v>
      </c>
      <c r="B17" s="47" t="s">
        <v>174</v>
      </c>
      <c r="C17" s="22" t="s">
        <v>175</v>
      </c>
      <c r="D17" s="44" t="s">
        <v>176</v>
      </c>
      <c r="E17" s="45">
        <v>4</v>
      </c>
      <c r="F17" s="46"/>
      <c r="G17" s="26">
        <f>56.925/G$1</f>
        <v>71.15625</v>
      </c>
      <c r="H17" s="26">
        <v>0</v>
      </c>
      <c r="I17" s="26">
        <f>16.5/$I$1</f>
        <v>20.625</v>
      </c>
      <c r="J17" s="26">
        <f>66/J$1</f>
        <v>82.5</v>
      </c>
      <c r="K17" s="80">
        <v>0</v>
      </c>
      <c r="L17" s="89">
        <f>10*60*1.05/2</f>
        <v>315</v>
      </c>
      <c r="M17" s="80">
        <v>90</v>
      </c>
      <c r="N17" s="80">
        <f t="shared" si="0"/>
        <v>579.28125</v>
      </c>
      <c r="O17" s="81">
        <v>34.299999999999997</v>
      </c>
      <c r="P17" s="81">
        <f t="shared" si="8"/>
        <v>5.63</v>
      </c>
      <c r="Q17" s="26">
        <v>87.05</v>
      </c>
      <c r="R17" s="26">
        <v>162.80000000000001</v>
      </c>
      <c r="S17" s="81">
        <f t="shared" si="9"/>
        <v>4.0199999999999996</v>
      </c>
      <c r="T17" s="108">
        <f t="shared" si="1"/>
        <v>9.65</v>
      </c>
      <c r="U17" s="119">
        <v>2433</v>
      </c>
      <c r="V17" s="109">
        <v>87.611151079999999</v>
      </c>
      <c r="W17" s="110">
        <f t="shared" si="10"/>
        <v>0.17522230216000001</v>
      </c>
      <c r="X17" s="121">
        <f t="shared" si="12"/>
        <v>4.51</v>
      </c>
      <c r="Y17" s="121">
        <f t="shared" si="13"/>
        <v>3.38</v>
      </c>
      <c r="Z17" s="145">
        <f t="shared" si="2"/>
        <v>17.72</v>
      </c>
      <c r="AA17" s="151">
        <v>159</v>
      </c>
      <c r="AB17" s="149"/>
      <c r="AC17" s="147"/>
    </row>
    <row r="18" spans="1:29" s="2" customFormat="1" ht="16.95" customHeight="1" x14ac:dyDescent="0.3">
      <c r="A18" s="20">
        <v>45766</v>
      </c>
      <c r="B18" s="20" t="s">
        <v>177</v>
      </c>
      <c r="C18" s="48" t="s">
        <v>178</v>
      </c>
      <c r="D18" s="23" t="s">
        <v>179</v>
      </c>
      <c r="E18" s="24">
        <v>4</v>
      </c>
      <c r="F18" s="25">
        <f>4000/12/4</f>
        <v>83.3333333333333</v>
      </c>
      <c r="G18" s="26">
        <f>177.062/G$1</f>
        <v>221.32749999999999</v>
      </c>
      <c r="H18" s="26">
        <f t="shared" si="11"/>
        <v>0</v>
      </c>
      <c r="I18" s="26">
        <f>16.5/I$1</f>
        <v>20.625</v>
      </c>
      <c r="J18" s="26">
        <f>269.5/J$1</f>
        <v>336.875</v>
      </c>
      <c r="K18" s="80">
        <v>0</v>
      </c>
      <c r="L18" s="80">
        <f>12*60*1.05/2</f>
        <v>378</v>
      </c>
      <c r="M18" s="80">
        <v>60</v>
      </c>
      <c r="N18" s="80">
        <f t="shared" si="0"/>
        <v>1016.8275</v>
      </c>
      <c r="O18" s="81">
        <v>34.299999999999997</v>
      </c>
      <c r="P18" s="81">
        <f t="shared" si="8"/>
        <v>9.8800000000000008</v>
      </c>
      <c r="Q18" s="81">
        <v>112.35</v>
      </c>
      <c r="R18" s="26">
        <v>162.80000000000001</v>
      </c>
      <c r="S18" s="81">
        <f t="shared" si="9"/>
        <v>5.18</v>
      </c>
      <c r="T18" s="108">
        <f t="shared" si="1"/>
        <v>15.06</v>
      </c>
      <c r="U18" s="119">
        <v>4000</v>
      </c>
      <c r="V18" s="109">
        <v>107.93988648</v>
      </c>
      <c r="W18" s="110">
        <f t="shared" si="10"/>
        <v>0.21587977295999999</v>
      </c>
      <c r="X18" s="120">
        <f t="shared" ref="X18:X28" si="14">ROUNDUP(P18*1.2,2)</f>
        <v>11.86</v>
      </c>
      <c r="Y18" s="120">
        <f t="shared" ref="Y18:Y24" si="15">ROUNDUP(P18*1,2)</f>
        <v>9.8800000000000008</v>
      </c>
      <c r="Z18" s="145">
        <f t="shared" si="2"/>
        <v>37.020000000000003</v>
      </c>
      <c r="AA18" s="151">
        <v>92</v>
      </c>
      <c r="AB18" s="149"/>
      <c r="AC18" s="147"/>
    </row>
    <row r="19" spans="1:29" s="2" customFormat="1" ht="16.95" customHeight="1" x14ac:dyDescent="0.3">
      <c r="A19" s="20">
        <v>45766</v>
      </c>
      <c r="B19" s="49" t="s">
        <v>180</v>
      </c>
      <c r="C19" s="49" t="s">
        <v>180</v>
      </c>
      <c r="D19" s="35" t="s">
        <v>181</v>
      </c>
      <c r="E19" s="50">
        <v>4</v>
      </c>
      <c r="F19" s="51">
        <v>500</v>
      </c>
      <c r="G19" s="38">
        <f>201.75/G$1</f>
        <v>252.1875</v>
      </c>
      <c r="H19" s="38">
        <f>150/H$1</f>
        <v>187.5</v>
      </c>
      <c r="I19" s="38">
        <f>19.5/I$1</f>
        <v>24.375</v>
      </c>
      <c r="J19" s="90">
        <f>170/J$1</f>
        <v>212.5</v>
      </c>
      <c r="K19" s="85">
        <v>0</v>
      </c>
      <c r="L19" s="83">
        <f t="shared" ref="L19:L21" si="16">18*60*1.1/2</f>
        <v>594</v>
      </c>
      <c r="M19" s="85">
        <v>90</v>
      </c>
      <c r="N19" s="85">
        <f t="shared" si="0"/>
        <v>1360.5625</v>
      </c>
      <c r="O19" s="86">
        <v>34.299999999999997</v>
      </c>
      <c r="P19" s="86">
        <f t="shared" si="8"/>
        <v>13.22</v>
      </c>
      <c r="Q19" s="80">
        <v>177.75</v>
      </c>
      <c r="R19" s="38">
        <v>162.80000000000001</v>
      </c>
      <c r="S19" s="86">
        <f t="shared" si="9"/>
        <v>8.1999999999999993</v>
      </c>
      <c r="T19" s="108">
        <f t="shared" si="1"/>
        <v>21.42</v>
      </c>
      <c r="U19" s="119">
        <v>500</v>
      </c>
      <c r="V19" s="122">
        <v>733.69132062400001</v>
      </c>
      <c r="W19" s="116">
        <f>V19*0.004</f>
        <v>2.934765282496</v>
      </c>
      <c r="X19" s="117">
        <f>ROUNDUP(P19*1,2)</f>
        <v>13.22</v>
      </c>
      <c r="Y19" s="117">
        <f>ROUNDUP(P19*1.2,2)</f>
        <v>15.87</v>
      </c>
      <c r="Z19" s="152">
        <f t="shared" si="2"/>
        <v>53.45</v>
      </c>
      <c r="AA19" s="151">
        <v>679</v>
      </c>
      <c r="AB19" s="149"/>
      <c r="AC19" s="147"/>
    </row>
    <row r="20" spans="1:29" s="2" customFormat="1" ht="16.95" customHeight="1" x14ac:dyDescent="0.3">
      <c r="A20" s="20">
        <v>45766</v>
      </c>
      <c r="B20" s="49" t="s">
        <v>182</v>
      </c>
      <c r="C20" s="49" t="s">
        <v>182</v>
      </c>
      <c r="D20" s="35" t="s">
        <v>183</v>
      </c>
      <c r="E20" s="50">
        <v>2</v>
      </c>
      <c r="F20" s="51">
        <v>500</v>
      </c>
      <c r="G20" s="38">
        <f>196.5/G$1</f>
        <v>245.625</v>
      </c>
      <c r="H20" s="38">
        <f>165/H$1</f>
        <v>206.25</v>
      </c>
      <c r="I20" s="38">
        <f>39/I$1</f>
        <v>48.75</v>
      </c>
      <c r="J20" s="90">
        <f>140/J$1</f>
        <v>175</v>
      </c>
      <c r="K20" s="85">
        <v>0</v>
      </c>
      <c r="L20" s="83">
        <f t="shared" si="16"/>
        <v>594</v>
      </c>
      <c r="M20" s="85">
        <v>90</v>
      </c>
      <c r="N20" s="85">
        <f t="shared" si="0"/>
        <v>1359.625</v>
      </c>
      <c r="O20" s="86">
        <v>34.299999999999997</v>
      </c>
      <c r="P20" s="86">
        <f t="shared" si="8"/>
        <v>13.21</v>
      </c>
      <c r="Q20" s="80">
        <v>210.5</v>
      </c>
      <c r="R20" s="38">
        <v>162.80000000000001</v>
      </c>
      <c r="S20" s="86">
        <f t="shared" si="9"/>
        <v>9.7100000000000009</v>
      </c>
      <c r="T20" s="108">
        <f t="shared" si="1"/>
        <v>22.92</v>
      </c>
      <c r="U20" s="119">
        <v>500</v>
      </c>
      <c r="V20" s="122">
        <v>402.38607456</v>
      </c>
      <c r="W20" s="116">
        <f>V20*0.004</f>
        <v>1.6095442982399999</v>
      </c>
      <c r="X20" s="117">
        <f>ROUNDUP(P20*1,2)</f>
        <v>13.21</v>
      </c>
      <c r="Y20" s="117">
        <f>ROUNDUP(P20*1.2,2)</f>
        <v>15.86</v>
      </c>
      <c r="Z20" s="152">
        <f t="shared" si="2"/>
        <v>53.6</v>
      </c>
      <c r="AA20" s="151">
        <v>881</v>
      </c>
      <c r="AB20" s="149"/>
      <c r="AC20" s="147"/>
    </row>
    <row r="21" spans="1:29" s="2" customFormat="1" ht="16.95" customHeight="1" x14ac:dyDescent="0.3">
      <c r="A21" s="20">
        <v>45766</v>
      </c>
      <c r="B21" s="39" t="s">
        <v>184</v>
      </c>
      <c r="C21" s="39" t="s">
        <v>184</v>
      </c>
      <c r="D21" s="22" t="s">
        <v>185</v>
      </c>
      <c r="E21" s="24">
        <v>2</v>
      </c>
      <c r="F21" s="25">
        <v>500</v>
      </c>
      <c r="G21" s="26">
        <f>282.5/G$1</f>
        <v>353.125</v>
      </c>
      <c r="H21" s="26">
        <f>165/H$1</f>
        <v>206.25</v>
      </c>
      <c r="I21" s="26">
        <f>31.5/I$1</f>
        <v>39.375</v>
      </c>
      <c r="J21" s="67">
        <f>170/J$1</f>
        <v>212.5</v>
      </c>
      <c r="K21" s="80">
        <v>0</v>
      </c>
      <c r="L21" s="79">
        <f t="shared" si="16"/>
        <v>594</v>
      </c>
      <c r="M21" s="80">
        <v>90</v>
      </c>
      <c r="N21" s="80">
        <f t="shared" si="0"/>
        <v>1495.25</v>
      </c>
      <c r="O21" s="81">
        <v>34.299999999999997</v>
      </c>
      <c r="P21" s="81">
        <f t="shared" si="8"/>
        <v>14.53</v>
      </c>
      <c r="Q21" s="80">
        <v>287.5</v>
      </c>
      <c r="R21" s="26">
        <v>162.80000000000001</v>
      </c>
      <c r="S21" s="81">
        <f t="shared" si="9"/>
        <v>13.26</v>
      </c>
      <c r="T21" s="108">
        <f t="shared" si="1"/>
        <v>27.79</v>
      </c>
      <c r="U21" s="119">
        <v>1500</v>
      </c>
      <c r="V21" s="109">
        <v>876.26141732799999</v>
      </c>
      <c r="W21" s="110">
        <f t="shared" ref="W21:W24" si="17">V21*0.002</f>
        <v>1.752522834656</v>
      </c>
      <c r="X21" s="120">
        <f t="shared" si="14"/>
        <v>17.440000000000001</v>
      </c>
      <c r="Y21" s="120">
        <f t="shared" si="15"/>
        <v>14.53</v>
      </c>
      <c r="Z21" s="145">
        <f t="shared" si="2"/>
        <v>61.52</v>
      </c>
      <c r="AA21" s="151">
        <v>1306</v>
      </c>
      <c r="AB21" s="149"/>
      <c r="AC21" s="147"/>
    </row>
    <row r="22" spans="1:29" s="2" customFormat="1" ht="16.95" customHeight="1" x14ac:dyDescent="0.3">
      <c r="A22" s="20">
        <v>45766</v>
      </c>
      <c r="B22" s="20" t="s">
        <v>186</v>
      </c>
      <c r="C22" s="48" t="s">
        <v>187</v>
      </c>
      <c r="D22" s="23" t="s">
        <v>188</v>
      </c>
      <c r="E22" s="24">
        <v>1</v>
      </c>
      <c r="F22" s="25">
        <f>5000/12</f>
        <v>416.66666666666703</v>
      </c>
      <c r="G22" s="26">
        <f>(229.5/G$1)</f>
        <v>286.875</v>
      </c>
      <c r="H22" s="26">
        <f>392/0.95</f>
        <v>412.63157894736798</v>
      </c>
      <c r="I22" s="26">
        <f>31/I$1</f>
        <v>38.75</v>
      </c>
      <c r="J22" s="26">
        <f>179/J$1</f>
        <v>223.75</v>
      </c>
      <c r="K22" s="80">
        <v>0</v>
      </c>
      <c r="L22" s="80">
        <f>32*60*1.05/2</f>
        <v>1008</v>
      </c>
      <c r="M22" s="80">
        <v>60</v>
      </c>
      <c r="N22" s="80">
        <f t="shared" si="0"/>
        <v>2030.0065789473699</v>
      </c>
      <c r="O22" s="81">
        <v>34.299999999999997</v>
      </c>
      <c r="P22" s="81">
        <f t="shared" si="8"/>
        <v>19.73</v>
      </c>
      <c r="Q22" s="81">
        <v>348.5</v>
      </c>
      <c r="R22" s="26">
        <v>162.80000000000001</v>
      </c>
      <c r="S22" s="81">
        <f t="shared" si="9"/>
        <v>16.079999999999998</v>
      </c>
      <c r="T22" s="108">
        <f t="shared" si="1"/>
        <v>35.81</v>
      </c>
      <c r="U22" s="119">
        <v>1800</v>
      </c>
      <c r="V22" s="109">
        <v>301.60978668000001</v>
      </c>
      <c r="W22" s="110">
        <f t="shared" si="17"/>
        <v>0.60321957335999998</v>
      </c>
      <c r="X22" s="120">
        <f t="shared" si="14"/>
        <v>23.68</v>
      </c>
      <c r="Y22" s="120">
        <f t="shared" si="15"/>
        <v>19.73</v>
      </c>
      <c r="Z22" s="145">
        <f t="shared" si="2"/>
        <v>79.83</v>
      </c>
      <c r="AA22" s="151">
        <v>843</v>
      </c>
      <c r="AB22" s="149"/>
      <c r="AC22" s="147"/>
    </row>
    <row r="23" spans="1:29" s="2" customFormat="1" ht="16.95" customHeight="1" x14ac:dyDescent="0.3">
      <c r="A23" s="20">
        <v>45766</v>
      </c>
      <c r="B23" s="20" t="s">
        <v>189</v>
      </c>
      <c r="C23" s="48" t="s">
        <v>190</v>
      </c>
      <c r="D23" s="23" t="s">
        <v>191</v>
      </c>
      <c r="E23" s="24">
        <v>2</v>
      </c>
      <c r="F23" s="25">
        <f>4500/12</f>
        <v>375</v>
      </c>
      <c r="G23" s="26">
        <f>123.5/G$1</f>
        <v>154.375</v>
      </c>
      <c r="H23" s="26">
        <v>0</v>
      </c>
      <c r="I23" s="26">
        <f>17.5/I$1</f>
        <v>21.875</v>
      </c>
      <c r="J23" s="26">
        <f>210/J$1</f>
        <v>262.5</v>
      </c>
      <c r="K23" s="80">
        <v>0</v>
      </c>
      <c r="L23" s="80">
        <f>17*60*1.05/2</f>
        <v>535.5</v>
      </c>
      <c r="M23" s="80">
        <v>60</v>
      </c>
      <c r="N23" s="80">
        <f t="shared" si="0"/>
        <v>1034.25</v>
      </c>
      <c r="O23" s="81">
        <v>34.299999999999997</v>
      </c>
      <c r="P23" s="81">
        <f t="shared" si="8"/>
        <v>10.050000000000001</v>
      </c>
      <c r="Q23" s="81">
        <v>154</v>
      </c>
      <c r="R23" s="26">
        <v>162.80000000000001</v>
      </c>
      <c r="S23" s="81">
        <f t="shared" si="9"/>
        <v>7.1</v>
      </c>
      <c r="T23" s="108">
        <f t="shared" si="1"/>
        <v>17.149999999999999</v>
      </c>
      <c r="U23" s="119">
        <v>4956</v>
      </c>
      <c r="V23" s="109">
        <v>286.55134959999998</v>
      </c>
      <c r="W23" s="110">
        <f t="shared" si="17"/>
        <v>0.57310269920000001</v>
      </c>
      <c r="X23" s="120">
        <f t="shared" si="14"/>
        <v>12.06</v>
      </c>
      <c r="Y23" s="120">
        <f t="shared" si="15"/>
        <v>10.050000000000001</v>
      </c>
      <c r="Z23" s="145">
        <f t="shared" si="2"/>
        <v>39.840000000000003</v>
      </c>
      <c r="AA23" s="151">
        <v>108</v>
      </c>
      <c r="AB23" s="149"/>
      <c r="AC23" s="147"/>
    </row>
    <row r="24" spans="1:29" s="2" customFormat="1" ht="16.95" customHeight="1" x14ac:dyDescent="0.3">
      <c r="A24" s="20">
        <v>45766</v>
      </c>
      <c r="B24" s="20" t="s">
        <v>192</v>
      </c>
      <c r="C24" s="48" t="s">
        <v>193</v>
      </c>
      <c r="D24" s="23" t="s">
        <v>194</v>
      </c>
      <c r="E24" s="24">
        <v>2</v>
      </c>
      <c r="F24" s="25">
        <f>5000/12</f>
        <v>416.66666666666703</v>
      </c>
      <c r="G24" s="26">
        <f>210.76/G$1</f>
        <v>263.45</v>
      </c>
      <c r="H24" s="26">
        <f>259.28/0.95</f>
        <v>272.92631578947402</v>
      </c>
      <c r="I24" s="26">
        <f>22/I$1</f>
        <v>27.5</v>
      </c>
      <c r="J24" s="26">
        <f>178.2/J$1</f>
        <v>222.75</v>
      </c>
      <c r="K24" s="80">
        <v>0</v>
      </c>
      <c r="L24" s="80">
        <f>18*60*1.05/2</f>
        <v>567</v>
      </c>
      <c r="M24" s="80">
        <v>60</v>
      </c>
      <c r="N24" s="80">
        <f t="shared" si="0"/>
        <v>1413.62631578947</v>
      </c>
      <c r="O24" s="81">
        <v>34.299999999999997</v>
      </c>
      <c r="P24" s="81">
        <f t="shared" si="8"/>
        <v>13.74</v>
      </c>
      <c r="Q24" s="81">
        <v>204.54499999999999</v>
      </c>
      <c r="R24" s="26">
        <v>162.80000000000001</v>
      </c>
      <c r="S24" s="81">
        <f t="shared" si="9"/>
        <v>9.43</v>
      </c>
      <c r="T24" s="108">
        <f t="shared" si="1"/>
        <v>23.17</v>
      </c>
      <c r="U24" s="119">
        <v>2500</v>
      </c>
      <c r="V24" s="109">
        <v>253.87071972800001</v>
      </c>
      <c r="W24" s="110">
        <f t="shared" si="17"/>
        <v>0.50774143945600003</v>
      </c>
      <c r="X24" s="120">
        <f t="shared" si="14"/>
        <v>16.489999999999998</v>
      </c>
      <c r="Y24" s="120">
        <f t="shared" si="15"/>
        <v>13.74</v>
      </c>
      <c r="Z24" s="145">
        <f t="shared" si="2"/>
        <v>53.91</v>
      </c>
      <c r="AA24" s="151">
        <v>710</v>
      </c>
      <c r="AB24" s="149"/>
      <c r="AC24" s="147"/>
    </row>
    <row r="25" spans="1:29" s="2" customFormat="1" ht="16.95" customHeight="1" x14ac:dyDescent="0.25">
      <c r="A25" s="20">
        <v>45766</v>
      </c>
      <c r="B25" s="33" t="s">
        <v>195</v>
      </c>
      <c r="C25" s="52" t="s">
        <v>196</v>
      </c>
      <c r="D25" s="53" t="s">
        <v>197</v>
      </c>
      <c r="E25" s="50">
        <v>2</v>
      </c>
      <c r="F25" s="54" t="s">
        <v>48</v>
      </c>
      <c r="G25" s="38">
        <f>110/G$1</f>
        <v>137.5</v>
      </c>
      <c r="H25" s="38">
        <f>0/$H$1</f>
        <v>0</v>
      </c>
      <c r="I25" s="38">
        <f>(30)/I$1</f>
        <v>37.5</v>
      </c>
      <c r="J25" s="38">
        <f>198/J$1</f>
        <v>247.5</v>
      </c>
      <c r="K25" s="85">
        <v>0</v>
      </c>
      <c r="L25" s="91">
        <f>10*1.1*60/2</f>
        <v>330</v>
      </c>
      <c r="M25" s="85">
        <v>90</v>
      </c>
      <c r="N25" s="85">
        <f t="shared" si="0"/>
        <v>842.5</v>
      </c>
      <c r="O25" s="86">
        <v>34.299999999999997</v>
      </c>
      <c r="P25" s="86">
        <f>ROUND((O25*N25/3600)*1.05,2)</f>
        <v>8.43</v>
      </c>
      <c r="Q25" s="85">
        <v>133</v>
      </c>
      <c r="R25" s="38">
        <v>162.80000000000001</v>
      </c>
      <c r="S25" s="86">
        <f>ROUND((R25*Q25/3600)*1.05,2)</f>
        <v>6.32</v>
      </c>
      <c r="T25" s="86">
        <f t="shared" si="1"/>
        <v>14.75</v>
      </c>
      <c r="U25" s="57">
        <v>482</v>
      </c>
      <c r="V25" s="123">
        <v>187.466116</v>
      </c>
      <c r="W25" s="116">
        <f>V25*0.004</f>
        <v>0.74986446399999995</v>
      </c>
      <c r="X25" s="124">
        <f t="shared" si="14"/>
        <v>10.119999999999999</v>
      </c>
      <c r="Y25" s="124">
        <f>ROUNDUP(P25*1.5,2)</f>
        <v>12.65</v>
      </c>
      <c r="Z25" s="152">
        <f t="shared" si="2"/>
        <v>38.270000000000003</v>
      </c>
      <c r="AA25" s="154">
        <v>105</v>
      </c>
      <c r="AB25" s="149"/>
      <c r="AC25" s="147"/>
    </row>
    <row r="26" spans="1:29" s="2" customFormat="1" ht="16.95" customHeight="1" x14ac:dyDescent="0.3">
      <c r="A26" s="20">
        <v>45766</v>
      </c>
      <c r="B26" s="55" t="s">
        <v>198</v>
      </c>
      <c r="C26" s="56" t="s">
        <v>199</v>
      </c>
      <c r="D26" s="22" t="s">
        <v>200</v>
      </c>
      <c r="E26" s="28">
        <v>6</v>
      </c>
      <c r="F26" s="46">
        <v>1100</v>
      </c>
      <c r="G26" s="26">
        <f>56.71/G$1</f>
        <v>70.887500000000003</v>
      </c>
      <c r="H26" s="26">
        <f>60.67/0.95</f>
        <v>63.863157894736801</v>
      </c>
      <c r="I26" s="26">
        <f>14.5/$I$1</f>
        <v>18.125</v>
      </c>
      <c r="J26" s="26">
        <f>138.22/J$1</f>
        <v>172.77500000000001</v>
      </c>
      <c r="K26" s="80">
        <v>0</v>
      </c>
      <c r="L26" s="80">
        <f>8*60*1.05/2</f>
        <v>252</v>
      </c>
      <c r="M26" s="80">
        <v>60</v>
      </c>
      <c r="N26" s="80">
        <f t="shared" si="0"/>
        <v>637.65065789473704</v>
      </c>
      <c r="O26" s="81">
        <v>34.299999999999997</v>
      </c>
      <c r="P26" s="81">
        <f t="shared" ref="P26:P31" si="18">ROUND((O26*N26/3600)*1.02,2)</f>
        <v>6.2</v>
      </c>
      <c r="Q26" s="81">
        <v>69.702777777777797</v>
      </c>
      <c r="R26" s="26">
        <v>162.80000000000001</v>
      </c>
      <c r="S26" s="81">
        <f t="shared" ref="S26:S31" si="19">ROUND((R26*Q26/3600)*1.02,2)</f>
        <v>3.22</v>
      </c>
      <c r="T26" s="108">
        <f t="shared" si="1"/>
        <v>9.42</v>
      </c>
      <c r="U26" s="119">
        <v>1792</v>
      </c>
      <c r="V26" s="125">
        <v>76.616637400000002</v>
      </c>
      <c r="W26" s="110">
        <f t="shared" ref="W26:W29" si="20">V26*0.002</f>
        <v>0.15323327480000001</v>
      </c>
      <c r="X26" s="121">
        <f t="shared" si="14"/>
        <v>7.44</v>
      </c>
      <c r="Y26" s="121">
        <f t="shared" ref="Y26:Y28" si="21">ROUNDUP(P26*1,2)</f>
        <v>6.2</v>
      </c>
      <c r="Z26" s="145">
        <f t="shared" si="2"/>
        <v>23.22</v>
      </c>
      <c r="AA26" s="151">
        <v>117</v>
      </c>
      <c r="AB26" s="149"/>
      <c r="AC26" s="147"/>
    </row>
    <row r="27" spans="1:29" s="2" customFormat="1" ht="16.95" customHeight="1" x14ac:dyDescent="0.3">
      <c r="A27" s="20">
        <v>45766</v>
      </c>
      <c r="B27" s="55" t="s">
        <v>201</v>
      </c>
      <c r="C27" s="56" t="s">
        <v>202</v>
      </c>
      <c r="D27" s="22" t="s">
        <v>203</v>
      </c>
      <c r="E27" s="28">
        <v>4</v>
      </c>
      <c r="F27" s="46">
        <v>500</v>
      </c>
      <c r="G27" s="26">
        <f>64.913/G$1</f>
        <v>81.141249999999999</v>
      </c>
      <c r="H27" s="26">
        <f>49/0.95</f>
        <v>51.578947368421098</v>
      </c>
      <c r="I27" s="26">
        <f>17.25/$I$1</f>
        <v>21.5625</v>
      </c>
      <c r="J27" s="26">
        <f>78.22/J$1</f>
        <v>97.775000000000006</v>
      </c>
      <c r="K27" s="80">
        <v>0</v>
      </c>
      <c r="L27" s="80">
        <f>8*60*1.05/2</f>
        <v>252</v>
      </c>
      <c r="M27" s="80">
        <v>60</v>
      </c>
      <c r="N27" s="80">
        <f t="shared" si="0"/>
        <v>564.05769736842103</v>
      </c>
      <c r="O27" s="81">
        <v>34.299999999999997</v>
      </c>
      <c r="P27" s="81">
        <f t="shared" si="18"/>
        <v>5.48</v>
      </c>
      <c r="Q27" s="81">
        <v>70.977777777777803</v>
      </c>
      <c r="R27" s="26">
        <v>162.80000000000001</v>
      </c>
      <c r="S27" s="81">
        <f t="shared" si="19"/>
        <v>3.27</v>
      </c>
      <c r="T27" s="108">
        <f t="shared" si="1"/>
        <v>8.75</v>
      </c>
      <c r="U27" s="119">
        <v>5500</v>
      </c>
      <c r="V27" s="125">
        <v>50.855338547999999</v>
      </c>
      <c r="W27" s="110">
        <f t="shared" si="20"/>
        <v>0.101710677096</v>
      </c>
      <c r="X27" s="121">
        <f t="shared" si="14"/>
        <v>6.58</v>
      </c>
      <c r="Y27" s="121">
        <f t="shared" si="21"/>
        <v>5.48</v>
      </c>
      <c r="Z27" s="145">
        <f t="shared" si="2"/>
        <v>20.92</v>
      </c>
      <c r="AA27" s="151">
        <v>75</v>
      </c>
      <c r="AB27" s="149"/>
      <c r="AC27" s="147"/>
    </row>
    <row r="28" spans="1:29" s="2" customFormat="1" ht="16.95" customHeight="1" x14ac:dyDescent="0.3">
      <c r="A28" s="20">
        <v>45766</v>
      </c>
      <c r="B28" s="39" t="s">
        <v>204</v>
      </c>
      <c r="C28" s="39" t="s">
        <v>204</v>
      </c>
      <c r="D28" s="23" t="s">
        <v>205</v>
      </c>
      <c r="E28" s="24">
        <v>1</v>
      </c>
      <c r="F28" s="25">
        <v>300</v>
      </c>
      <c r="G28" s="26">
        <f>426.67/G$1</f>
        <v>533.33749999999998</v>
      </c>
      <c r="H28" s="26">
        <f>492/0.95</f>
        <v>517.89473684210498</v>
      </c>
      <c r="I28" s="26">
        <f>0/I$1</f>
        <v>0</v>
      </c>
      <c r="J28" s="67">
        <f>99/J$1</f>
        <v>123.75</v>
      </c>
      <c r="K28" s="79">
        <v>0</v>
      </c>
      <c r="L28" s="79">
        <f>20*60*1.1/2</f>
        <v>660</v>
      </c>
      <c r="M28" s="80">
        <v>180</v>
      </c>
      <c r="N28" s="80">
        <f t="shared" si="0"/>
        <v>2014.9822368421101</v>
      </c>
      <c r="O28" s="81">
        <v>34.299999999999997</v>
      </c>
      <c r="P28" s="81">
        <f>ROUND((O28*N28/3600)*$P$1,2)</f>
        <v>19.579999999999998</v>
      </c>
      <c r="Q28" s="81">
        <v>435.16666666666703</v>
      </c>
      <c r="R28" s="26">
        <v>162.80000000000001</v>
      </c>
      <c r="S28" s="81">
        <f>ROUND((R28*Q28/3600)*$S$1,2)</f>
        <v>20.07</v>
      </c>
      <c r="T28" s="108">
        <f t="shared" si="1"/>
        <v>39.65</v>
      </c>
      <c r="U28" s="119">
        <v>1009</v>
      </c>
      <c r="V28" s="109">
        <v>772.02930679999997</v>
      </c>
      <c r="W28" s="110">
        <f t="shared" si="20"/>
        <v>1.5440586136000001</v>
      </c>
      <c r="X28" s="111">
        <f t="shared" si="14"/>
        <v>23.5</v>
      </c>
      <c r="Y28" s="111">
        <f t="shared" si="21"/>
        <v>19.579999999999998</v>
      </c>
      <c r="Z28" s="145">
        <f t="shared" si="2"/>
        <v>84.28</v>
      </c>
      <c r="AA28" s="155">
        <v>656</v>
      </c>
      <c r="AC28" s="147"/>
    </row>
    <row r="29" spans="1:29" s="2" customFormat="1" ht="16.95" customHeight="1" x14ac:dyDescent="0.3">
      <c r="A29" s="20">
        <v>45766</v>
      </c>
      <c r="B29" s="39" t="s">
        <v>206</v>
      </c>
      <c r="C29" s="39" t="s">
        <v>206</v>
      </c>
      <c r="D29" s="23" t="s">
        <v>207</v>
      </c>
      <c r="E29" s="28">
        <v>1</v>
      </c>
      <c r="F29" s="25">
        <v>1100</v>
      </c>
      <c r="G29" s="26">
        <f>180/G$1</f>
        <v>225</v>
      </c>
      <c r="H29" s="26">
        <f>140/0.95</f>
        <v>147.36842105263199</v>
      </c>
      <c r="I29" s="26">
        <f>(44)/I$1</f>
        <v>55</v>
      </c>
      <c r="J29" s="67">
        <f>66/J$1</f>
        <v>82.5</v>
      </c>
      <c r="K29" s="79">
        <v>0</v>
      </c>
      <c r="L29" s="92">
        <v>531</v>
      </c>
      <c r="M29" s="80">
        <v>90</v>
      </c>
      <c r="N29" s="80">
        <f t="shared" si="0"/>
        <v>1130.8684210526301</v>
      </c>
      <c r="O29" s="81">
        <v>34.299999999999997</v>
      </c>
      <c r="P29" s="81">
        <f t="shared" si="18"/>
        <v>10.99</v>
      </c>
      <c r="Q29" s="81">
        <v>175</v>
      </c>
      <c r="R29" s="26">
        <v>162.80000000000001</v>
      </c>
      <c r="S29" s="81">
        <f t="shared" si="19"/>
        <v>8.07</v>
      </c>
      <c r="T29" s="108">
        <f t="shared" si="1"/>
        <v>19.059999999999999</v>
      </c>
      <c r="U29" s="119">
        <v>2500</v>
      </c>
      <c r="V29" s="109">
        <v>86.660474719999996</v>
      </c>
      <c r="W29" s="110">
        <f t="shared" si="20"/>
        <v>0.17332094944000001</v>
      </c>
      <c r="X29" s="111">
        <f>ROUNDUP(P29*0.8,2)</f>
        <v>8.8000000000000007</v>
      </c>
      <c r="Y29" s="111">
        <f>ROUNDUP(P29*0.6,2)</f>
        <v>6.6</v>
      </c>
      <c r="Z29" s="145">
        <f t="shared" si="2"/>
        <v>34.64</v>
      </c>
      <c r="AA29" s="151">
        <v>189</v>
      </c>
      <c r="AB29" s="149"/>
      <c r="AC29" s="147"/>
    </row>
    <row r="30" spans="1:29" s="2" customFormat="1" ht="16.95" customHeight="1" x14ac:dyDescent="0.3">
      <c r="A30" s="20">
        <v>45766</v>
      </c>
      <c r="B30" s="39" t="s">
        <v>208</v>
      </c>
      <c r="C30" s="39" t="s">
        <v>208</v>
      </c>
      <c r="D30" s="23" t="s">
        <v>209</v>
      </c>
      <c r="E30" s="28">
        <v>1</v>
      </c>
      <c r="F30" s="25">
        <v>600</v>
      </c>
      <c r="G30" s="26">
        <f>33/G$1</f>
        <v>41.25</v>
      </c>
      <c r="H30" s="26">
        <v>0</v>
      </c>
      <c r="I30" s="26">
        <f>(1243)/I$1</f>
        <v>1553.75</v>
      </c>
      <c r="J30" s="67">
        <f>165/J$1</f>
        <v>206.25</v>
      </c>
      <c r="K30" s="79">
        <v>0</v>
      </c>
      <c r="L30" s="93">
        <f>7*60*1.1/2</f>
        <v>231</v>
      </c>
      <c r="M30" s="80">
        <v>90</v>
      </c>
      <c r="N30" s="80">
        <f t="shared" si="0"/>
        <v>2122.25</v>
      </c>
      <c r="O30" s="81">
        <v>34.299999999999997</v>
      </c>
      <c r="P30" s="81">
        <f t="shared" si="18"/>
        <v>20.62</v>
      </c>
      <c r="Q30" s="81">
        <v>16.5</v>
      </c>
      <c r="R30" s="26">
        <v>162.80000000000001</v>
      </c>
      <c r="S30" s="81">
        <f t="shared" si="19"/>
        <v>0.76</v>
      </c>
      <c r="T30" s="108">
        <f t="shared" si="1"/>
        <v>21.38</v>
      </c>
      <c r="U30" s="119">
        <v>700</v>
      </c>
      <c r="V30" s="109">
        <v>1154.7347500000001</v>
      </c>
      <c r="W30" s="126">
        <f t="shared" ref="W30:W35" si="22">V30*0.004</f>
        <v>4.6189390000000001</v>
      </c>
      <c r="X30" s="120">
        <f t="shared" ref="X30:X33" si="23">ROUNDUP(P30*1,2)</f>
        <v>20.62</v>
      </c>
      <c r="Y30" s="120">
        <f t="shared" ref="Y30:Y33" si="24">ROUNDUP(P30*0.8,2)</f>
        <v>16.5</v>
      </c>
      <c r="Z30" s="145">
        <f t="shared" si="2"/>
        <v>63.12</v>
      </c>
      <c r="AA30" s="151">
        <v>63</v>
      </c>
      <c r="AB30" s="149"/>
      <c r="AC30" s="147"/>
    </row>
    <row r="31" spans="1:29" s="2" customFormat="1" ht="16.95" customHeight="1" x14ac:dyDescent="0.3">
      <c r="A31" s="20">
        <v>45766</v>
      </c>
      <c r="B31" s="39" t="s">
        <v>210</v>
      </c>
      <c r="C31" s="39" t="s">
        <v>210</v>
      </c>
      <c r="D31" s="23" t="s">
        <v>211</v>
      </c>
      <c r="E31" s="28">
        <v>2</v>
      </c>
      <c r="F31" s="25">
        <v>1200</v>
      </c>
      <c r="G31" s="26">
        <f>98.4/G$1</f>
        <v>123</v>
      </c>
      <c r="H31" s="26">
        <f>154.37/0.95</f>
        <v>162.494736842105</v>
      </c>
      <c r="I31" s="26">
        <f>(33)/I$1</f>
        <v>41.25</v>
      </c>
      <c r="J31" s="67">
        <f>99/J$1</f>
        <v>123.75</v>
      </c>
      <c r="K31" s="79">
        <v>0</v>
      </c>
      <c r="L31" s="92">
        <v>946</v>
      </c>
      <c r="M31" s="80">
        <v>90</v>
      </c>
      <c r="N31" s="80">
        <f t="shared" si="0"/>
        <v>1486.4947368421099</v>
      </c>
      <c r="O31" s="81">
        <v>34.299999999999997</v>
      </c>
      <c r="P31" s="81">
        <f t="shared" si="18"/>
        <v>14.45</v>
      </c>
      <c r="Q31" s="81">
        <v>112.533333333333</v>
      </c>
      <c r="R31" s="26">
        <v>162.80000000000001</v>
      </c>
      <c r="S31" s="81">
        <f t="shared" si="19"/>
        <v>5.19</v>
      </c>
      <c r="T31" s="108">
        <f t="shared" si="1"/>
        <v>19.64</v>
      </c>
      <c r="U31" s="119">
        <v>2327</v>
      </c>
      <c r="V31" s="109">
        <v>215.48663687999999</v>
      </c>
      <c r="W31" s="110">
        <f t="shared" ref="W31:W34" si="25">V31*0.002</f>
        <v>0.43097327376</v>
      </c>
      <c r="X31" s="120">
        <f t="shared" si="23"/>
        <v>14.45</v>
      </c>
      <c r="Y31" s="120">
        <f t="shared" si="24"/>
        <v>11.56</v>
      </c>
      <c r="Z31" s="145">
        <f t="shared" si="2"/>
        <v>46.09</v>
      </c>
      <c r="AA31" s="151">
        <v>272</v>
      </c>
      <c r="AB31" s="149"/>
      <c r="AC31" s="147"/>
    </row>
    <row r="32" spans="1:29" s="2" customFormat="1" ht="16.95" customHeight="1" x14ac:dyDescent="0.25">
      <c r="A32" s="20">
        <v>45766</v>
      </c>
      <c r="B32" s="20" t="s">
        <v>212</v>
      </c>
      <c r="C32" s="32" t="s">
        <v>213</v>
      </c>
      <c r="D32" s="44" t="s">
        <v>214</v>
      </c>
      <c r="E32" s="24">
        <v>4</v>
      </c>
      <c r="F32" s="30">
        <f>2000/4</f>
        <v>500</v>
      </c>
      <c r="G32" s="26">
        <f>61.5/0.8</f>
        <v>76.875</v>
      </c>
      <c r="H32" s="26">
        <f>77.2/0.95</f>
        <v>81.263157894736807</v>
      </c>
      <c r="I32" s="26">
        <f>(22+113)/I$1</f>
        <v>168.75</v>
      </c>
      <c r="J32" s="26">
        <f>121/0.8</f>
        <v>151.25</v>
      </c>
      <c r="K32" s="80">
        <v>0</v>
      </c>
      <c r="L32" s="79">
        <v>412.5</v>
      </c>
      <c r="M32" s="80">
        <v>60</v>
      </c>
      <c r="N32" s="80">
        <f t="shared" si="0"/>
        <v>950.63815789473699</v>
      </c>
      <c r="O32" s="81">
        <v>34.299999999999997</v>
      </c>
      <c r="P32" s="87">
        <f>ROUND((O32*N32/3600)*1.05,2)</f>
        <v>9.51</v>
      </c>
      <c r="Q32" s="80">
        <v>80.616666666666703</v>
      </c>
      <c r="R32" s="26">
        <v>162.80000000000001</v>
      </c>
      <c r="S32" s="87">
        <f>ROUND((R32*Q32/3600)*1.05,2)</f>
        <v>3.83</v>
      </c>
      <c r="T32" s="108">
        <f t="shared" si="1"/>
        <v>13.34</v>
      </c>
      <c r="U32" s="23">
        <v>1674</v>
      </c>
      <c r="V32" s="114">
        <v>252.68656224</v>
      </c>
      <c r="W32" s="110">
        <f t="shared" si="25"/>
        <v>0.50537312448000005</v>
      </c>
      <c r="X32" s="111">
        <f t="shared" si="23"/>
        <v>9.51</v>
      </c>
      <c r="Y32" s="111">
        <f>ROUNDUP(P32*1.2,2)</f>
        <v>11.42</v>
      </c>
      <c r="Z32" s="145">
        <f t="shared" si="2"/>
        <v>34.78</v>
      </c>
      <c r="AA32" s="151">
        <v>197</v>
      </c>
      <c r="AB32" s="149"/>
      <c r="AC32" s="147"/>
    </row>
    <row r="33" spans="1:29" s="2" customFormat="1" ht="16.95" customHeight="1" x14ac:dyDescent="0.3">
      <c r="A33" s="20">
        <v>45766</v>
      </c>
      <c r="B33" s="49" t="s">
        <v>215</v>
      </c>
      <c r="C33" s="49" t="s">
        <v>215</v>
      </c>
      <c r="D33" s="57" t="s">
        <v>216</v>
      </c>
      <c r="E33" s="36">
        <v>1</v>
      </c>
      <c r="F33" s="51">
        <v>600</v>
      </c>
      <c r="G33" s="38">
        <f>185/G$1</f>
        <v>231.25</v>
      </c>
      <c r="H33" s="38">
        <v>0</v>
      </c>
      <c r="I33" s="38">
        <f>(44+237)/I$1</f>
        <v>351.25</v>
      </c>
      <c r="J33" s="90">
        <f>66/J$1</f>
        <v>82.5</v>
      </c>
      <c r="K33" s="83">
        <v>0</v>
      </c>
      <c r="L33" s="94">
        <v>583</v>
      </c>
      <c r="M33" s="85">
        <v>90</v>
      </c>
      <c r="N33" s="85">
        <f t="shared" si="0"/>
        <v>1338</v>
      </c>
      <c r="O33" s="86">
        <v>34.299999999999997</v>
      </c>
      <c r="P33" s="86">
        <f t="shared" ref="P33:P38" si="26">ROUND((O33*N33/3600)*1.02,2)</f>
        <v>13</v>
      </c>
      <c r="Q33" s="86">
        <v>196</v>
      </c>
      <c r="R33" s="38">
        <v>162.80000000000001</v>
      </c>
      <c r="S33" s="86">
        <f t="shared" ref="S33:S38" si="27">ROUND((R33*Q33/3600)*1.02,2)</f>
        <v>9.0399999999999991</v>
      </c>
      <c r="T33" s="86">
        <f t="shared" si="1"/>
        <v>22.04</v>
      </c>
      <c r="U33" s="127">
        <v>346</v>
      </c>
      <c r="V33" s="122">
        <v>430.73872951999999</v>
      </c>
      <c r="W33" s="116">
        <f t="shared" si="22"/>
        <v>1.7229549180799999</v>
      </c>
      <c r="X33" s="124">
        <f t="shared" si="23"/>
        <v>13</v>
      </c>
      <c r="Y33" s="124">
        <f t="shared" si="24"/>
        <v>10.4</v>
      </c>
      <c r="Z33" s="152">
        <f t="shared" si="2"/>
        <v>47.17</v>
      </c>
      <c r="AA33" s="154">
        <v>303</v>
      </c>
      <c r="AB33" s="149"/>
      <c r="AC33" s="147"/>
    </row>
    <row r="34" spans="1:29" s="2" customFormat="1" ht="16.95" customHeight="1" x14ac:dyDescent="0.3">
      <c r="A34" s="20">
        <v>45766</v>
      </c>
      <c r="B34" s="39" t="s">
        <v>217</v>
      </c>
      <c r="C34" s="39" t="s">
        <v>217</v>
      </c>
      <c r="D34" s="23" t="s">
        <v>218</v>
      </c>
      <c r="E34" s="28">
        <v>4</v>
      </c>
      <c r="F34" s="25">
        <v>600</v>
      </c>
      <c r="G34" s="26">
        <f>75/G$1</f>
        <v>93.75</v>
      </c>
      <c r="H34" s="26">
        <f>55.59/0.95</f>
        <v>58.515789473684201</v>
      </c>
      <c r="I34" s="26">
        <f>(22+11.25)/I$1</f>
        <v>41.5625</v>
      </c>
      <c r="J34" s="67">
        <f>99/J$1</f>
        <v>123.75</v>
      </c>
      <c r="K34" s="79">
        <v>0</v>
      </c>
      <c r="L34" s="92">
        <v>425</v>
      </c>
      <c r="M34" s="80">
        <v>90</v>
      </c>
      <c r="N34" s="80">
        <f t="shared" si="0"/>
        <v>832.57828947368398</v>
      </c>
      <c r="O34" s="81">
        <v>34.299999999999997</v>
      </c>
      <c r="P34" s="81">
        <f t="shared" si="26"/>
        <v>8.09</v>
      </c>
      <c r="Q34" s="81">
        <v>77.176470588235304</v>
      </c>
      <c r="R34" s="26">
        <v>162.80000000000001</v>
      </c>
      <c r="S34" s="81">
        <f t="shared" si="27"/>
        <v>3.56</v>
      </c>
      <c r="T34" s="108">
        <f t="shared" si="1"/>
        <v>11.65</v>
      </c>
      <c r="U34" s="119">
        <v>1380</v>
      </c>
      <c r="V34" s="109">
        <v>184.33043971999999</v>
      </c>
      <c r="W34" s="110">
        <f t="shared" si="25"/>
        <v>0.36866087943999998</v>
      </c>
      <c r="X34" s="111">
        <f>ROUNDUP(P34*1.2,2)</f>
        <v>9.7100000000000009</v>
      </c>
      <c r="Y34" s="111">
        <f>ROUNDUP(P34*1,2)</f>
        <v>8.09</v>
      </c>
      <c r="Z34" s="145">
        <f t="shared" si="2"/>
        <v>29.82</v>
      </c>
      <c r="AA34" s="151">
        <v>115</v>
      </c>
      <c r="AB34" s="149"/>
      <c r="AC34" s="147"/>
    </row>
    <row r="35" spans="1:29" s="2" customFormat="1" ht="16.95" customHeight="1" x14ac:dyDescent="0.25">
      <c r="A35" s="33">
        <v>45766</v>
      </c>
      <c r="B35" s="58" t="s">
        <v>219</v>
      </c>
      <c r="C35" s="58" t="s">
        <v>219</v>
      </c>
      <c r="D35" s="53" t="s">
        <v>220</v>
      </c>
      <c r="E35" s="50">
        <v>1</v>
      </c>
      <c r="F35" s="54">
        <v>600</v>
      </c>
      <c r="G35" s="38">
        <f>190/G$1</f>
        <v>237.5</v>
      </c>
      <c r="H35" s="38">
        <f>552/0.8</f>
        <v>690</v>
      </c>
      <c r="I35" s="38">
        <f>(0+192.5)/I$1</f>
        <v>240.625</v>
      </c>
      <c r="J35" s="38">
        <f>380/J$1</f>
        <v>475</v>
      </c>
      <c r="K35" s="85">
        <v>66</v>
      </c>
      <c r="L35" s="83">
        <v>336</v>
      </c>
      <c r="M35" s="85">
        <v>90</v>
      </c>
      <c r="N35" s="85">
        <f t="shared" si="0"/>
        <v>2135.125</v>
      </c>
      <c r="O35" s="86">
        <v>34.299999999999997</v>
      </c>
      <c r="P35" s="86">
        <f>ROUND((O35*N35/3600)*1.05,2)</f>
        <v>21.36</v>
      </c>
      <c r="Q35" s="128">
        <v>290.2</v>
      </c>
      <c r="R35" s="38">
        <v>162.80000000000001</v>
      </c>
      <c r="S35" s="86">
        <f>ROUND((R35*Q35/3600)*1.05,2)</f>
        <v>13.78</v>
      </c>
      <c r="T35" s="86">
        <f t="shared" si="1"/>
        <v>35.14</v>
      </c>
      <c r="U35" s="57">
        <v>717</v>
      </c>
      <c r="V35" s="123">
        <v>658.40982919999999</v>
      </c>
      <c r="W35" s="116">
        <f t="shared" si="22"/>
        <v>2.6336393168000001</v>
      </c>
      <c r="X35" s="117">
        <f t="shared" ref="X35:X39" si="28">ROUNDUP(P35*1,2)</f>
        <v>21.36</v>
      </c>
      <c r="Y35" s="117">
        <f>ROUNDUP(P35*1.2,2)</f>
        <v>25.64</v>
      </c>
      <c r="Z35" s="152">
        <f t="shared" si="2"/>
        <v>84.78</v>
      </c>
      <c r="AA35" s="156">
        <v>466</v>
      </c>
      <c r="AB35" s="149"/>
      <c r="AC35" s="147"/>
    </row>
    <row r="36" spans="1:29" s="2" customFormat="1" ht="16.95" customHeight="1" x14ac:dyDescent="0.3">
      <c r="A36" s="20">
        <v>45766</v>
      </c>
      <c r="B36" s="39" t="s">
        <v>221</v>
      </c>
      <c r="C36" s="39" t="s">
        <v>221</v>
      </c>
      <c r="D36" s="23" t="s">
        <v>222</v>
      </c>
      <c r="E36" s="28">
        <v>1</v>
      </c>
      <c r="F36" s="59">
        <v>600</v>
      </c>
      <c r="G36" s="26">
        <f>150/G$1</f>
        <v>187.5</v>
      </c>
      <c r="H36" s="26">
        <f>58.33/0.95</f>
        <v>61.4</v>
      </c>
      <c r="I36" s="26">
        <f>33/I$1</f>
        <v>41.25</v>
      </c>
      <c r="J36" s="67">
        <f>66/J$1</f>
        <v>82.5</v>
      </c>
      <c r="K36" s="79">
        <v>0</v>
      </c>
      <c r="L36" s="92">
        <v>368.5</v>
      </c>
      <c r="M36" s="80">
        <v>90</v>
      </c>
      <c r="N36" s="80">
        <f t="shared" si="0"/>
        <v>831.15</v>
      </c>
      <c r="O36" s="81">
        <v>34.299999999999997</v>
      </c>
      <c r="P36" s="81">
        <f t="shared" si="26"/>
        <v>8.08</v>
      </c>
      <c r="Q36" s="81">
        <v>136.833333333333</v>
      </c>
      <c r="R36" s="26">
        <v>162.80000000000001</v>
      </c>
      <c r="S36" s="81">
        <f t="shared" si="27"/>
        <v>6.31</v>
      </c>
      <c r="T36" s="108">
        <f t="shared" si="1"/>
        <v>14.39</v>
      </c>
      <c r="U36" s="119">
        <v>1000</v>
      </c>
      <c r="V36" s="109">
        <v>52.519847499999997</v>
      </c>
      <c r="W36" s="110">
        <f t="shared" ref="W36:W41" si="29">V36*0.002</f>
        <v>0.105039695</v>
      </c>
      <c r="X36" s="120">
        <f t="shared" si="28"/>
        <v>8.08</v>
      </c>
      <c r="Y36" s="120">
        <f>ROUNDUP(P36*0.8,2)</f>
        <v>6.47</v>
      </c>
      <c r="Z36" s="145">
        <f t="shared" si="2"/>
        <v>29.05</v>
      </c>
      <c r="AA36" s="151">
        <v>71</v>
      </c>
      <c r="AB36" s="149"/>
      <c r="AC36" s="147"/>
    </row>
    <row r="37" spans="1:29" s="2" customFormat="1" ht="16.95" customHeight="1" x14ac:dyDescent="0.3">
      <c r="A37" s="20">
        <v>45766</v>
      </c>
      <c r="B37" s="39" t="s">
        <v>223</v>
      </c>
      <c r="C37" s="39" t="s">
        <v>223</v>
      </c>
      <c r="D37" s="23" t="s">
        <v>224</v>
      </c>
      <c r="E37" s="28">
        <v>1</v>
      </c>
      <c r="F37" s="25">
        <v>1300</v>
      </c>
      <c r="G37" s="26">
        <f>145.58/G$1</f>
        <v>181.97499999999999</v>
      </c>
      <c r="H37" s="26">
        <f>180.22/0.95</f>
        <v>189.70526315789499</v>
      </c>
      <c r="I37" s="26">
        <f>44/I$1</f>
        <v>55</v>
      </c>
      <c r="J37" s="67">
        <f>143/J$1</f>
        <v>178.75</v>
      </c>
      <c r="K37" s="79">
        <v>0</v>
      </c>
      <c r="L37" s="79">
        <f>8*60*1.1/2</f>
        <v>264</v>
      </c>
      <c r="M37" s="80">
        <v>60</v>
      </c>
      <c r="N37" s="80">
        <f t="shared" si="0"/>
        <v>929.43026315789496</v>
      </c>
      <c r="O37" s="81">
        <v>34.299999999999997</v>
      </c>
      <c r="P37" s="81">
        <f t="shared" si="26"/>
        <v>9.0299999999999994</v>
      </c>
      <c r="Q37" s="80">
        <v>180.101169590643</v>
      </c>
      <c r="R37" s="26">
        <v>162.80000000000001</v>
      </c>
      <c r="S37" s="81">
        <f t="shared" si="27"/>
        <v>8.31</v>
      </c>
      <c r="T37" s="108">
        <f t="shared" si="1"/>
        <v>17.34</v>
      </c>
      <c r="U37" s="119">
        <v>2800</v>
      </c>
      <c r="V37" s="109">
        <v>170.75936432</v>
      </c>
      <c r="W37" s="110">
        <f t="shared" si="29"/>
        <v>0.34151872863999999</v>
      </c>
      <c r="X37" s="120">
        <f t="shared" ref="X37:X40" si="30">ROUNDUP(P37*0.8,2)</f>
        <v>7.23</v>
      </c>
      <c r="Y37" s="120">
        <f>ROUNDUP(P37*0.6,2)</f>
        <v>5.42</v>
      </c>
      <c r="Z37" s="145">
        <f t="shared" si="2"/>
        <v>30.34</v>
      </c>
      <c r="AA37" s="151">
        <v>193</v>
      </c>
      <c r="AB37" s="149"/>
      <c r="AC37" s="147"/>
    </row>
    <row r="38" spans="1:29" s="2" customFormat="1" ht="16.95" customHeight="1" x14ac:dyDescent="0.3">
      <c r="A38" s="20">
        <v>45766</v>
      </c>
      <c r="B38" s="20" t="s">
        <v>225</v>
      </c>
      <c r="C38" s="56" t="s">
        <v>226</v>
      </c>
      <c r="D38" s="22" t="s">
        <v>227</v>
      </c>
      <c r="E38" s="24">
        <v>3</v>
      </c>
      <c r="F38" s="30">
        <f>3000/3</f>
        <v>1000</v>
      </c>
      <c r="G38" s="60">
        <f>166.67/G$1</f>
        <v>208.33750000000001</v>
      </c>
      <c r="H38" s="60">
        <f>152/0.95</f>
        <v>160</v>
      </c>
      <c r="I38" s="26">
        <f>(29.33)/I$1</f>
        <v>36.662500000000001</v>
      </c>
      <c r="J38" s="26">
        <f>99/J$1</f>
        <v>123.75</v>
      </c>
      <c r="K38" s="95">
        <v>55</v>
      </c>
      <c r="L38" s="79">
        <v>367.4</v>
      </c>
      <c r="M38" s="80">
        <v>60</v>
      </c>
      <c r="N38" s="80">
        <f t="shared" si="0"/>
        <v>1011.15</v>
      </c>
      <c r="O38" s="81">
        <v>34.299999999999997</v>
      </c>
      <c r="P38" s="81">
        <f t="shared" si="26"/>
        <v>9.83</v>
      </c>
      <c r="Q38" s="129">
        <v>248.3</v>
      </c>
      <c r="R38" s="26">
        <v>162.80000000000001</v>
      </c>
      <c r="S38" s="81">
        <f t="shared" si="27"/>
        <v>11.45</v>
      </c>
      <c r="T38" s="108">
        <f t="shared" si="1"/>
        <v>21.28</v>
      </c>
      <c r="U38" s="119">
        <v>7124</v>
      </c>
      <c r="V38" s="130">
        <v>203.99685664</v>
      </c>
      <c r="W38" s="110">
        <f t="shared" si="29"/>
        <v>0.40799371328</v>
      </c>
      <c r="X38" s="120">
        <f t="shared" si="30"/>
        <v>7.87</v>
      </c>
      <c r="Y38" s="120">
        <f>ROUNDUP(P38*0.9,2)</f>
        <v>8.85</v>
      </c>
      <c r="Z38" s="145">
        <f t="shared" si="2"/>
        <v>38.409999999999997</v>
      </c>
      <c r="AA38" s="151">
        <v>577</v>
      </c>
      <c r="AB38" s="149"/>
      <c r="AC38" s="147"/>
    </row>
    <row r="39" spans="1:29" s="2" customFormat="1" ht="16.95" customHeight="1" x14ac:dyDescent="0.25">
      <c r="A39" s="20">
        <v>45766</v>
      </c>
      <c r="B39" s="20" t="s">
        <v>228</v>
      </c>
      <c r="C39" s="32" t="s">
        <v>229</v>
      </c>
      <c r="D39" s="29" t="s">
        <v>230</v>
      </c>
      <c r="E39" s="24">
        <v>8</v>
      </c>
      <c r="F39" s="30">
        <f>5900/E39</f>
        <v>737.5</v>
      </c>
      <c r="G39" s="26">
        <f>35.7394736842105/0.8</f>
        <v>44.674342105263101</v>
      </c>
      <c r="H39" s="26">
        <f>85.5555555555555/0.95</f>
        <v>90.058479532163702</v>
      </c>
      <c r="I39" s="26">
        <f>(16.5)/I$1</f>
        <v>20.625</v>
      </c>
      <c r="J39" s="26">
        <f>66/0.8</f>
        <v>82.5</v>
      </c>
      <c r="K39" s="80">
        <v>0</v>
      </c>
      <c r="L39" s="79">
        <v>250</v>
      </c>
      <c r="M39" s="80">
        <v>60</v>
      </c>
      <c r="N39" s="80">
        <f t="shared" si="0"/>
        <v>547.85782163742704</v>
      </c>
      <c r="O39" s="81">
        <v>34.299999999999997</v>
      </c>
      <c r="P39" s="87">
        <f t="shared" ref="P39:P70" si="31">ROUND((O39*N39/3600)*1.05,2)</f>
        <v>5.48</v>
      </c>
      <c r="Q39" s="131">
        <v>50.546198830409402</v>
      </c>
      <c r="R39" s="26">
        <v>162.80000000000001</v>
      </c>
      <c r="S39" s="87">
        <f t="shared" ref="S39:S70" si="32">ROUND((R39*Q39/3600)*1.05,2)</f>
        <v>2.4</v>
      </c>
      <c r="T39" s="108">
        <f t="shared" si="1"/>
        <v>7.88</v>
      </c>
      <c r="U39" s="23">
        <v>3550</v>
      </c>
      <c r="V39" s="114">
        <v>57.631543964000002</v>
      </c>
      <c r="W39" s="110">
        <f t="shared" si="29"/>
        <v>0.115263087928</v>
      </c>
      <c r="X39" s="111">
        <f t="shared" si="28"/>
        <v>5.48</v>
      </c>
      <c r="Y39" s="111">
        <f>ROUNDUP(P39*1.2,2)</f>
        <v>6.58</v>
      </c>
      <c r="Z39" s="145">
        <f t="shared" si="2"/>
        <v>20.059999999999999</v>
      </c>
      <c r="AA39" s="151">
        <v>106</v>
      </c>
      <c r="AB39" s="149"/>
      <c r="AC39" s="147"/>
    </row>
    <row r="40" spans="1:29" s="2" customFormat="1" ht="16.95" customHeight="1" x14ac:dyDescent="0.3">
      <c r="A40" s="20">
        <v>45766</v>
      </c>
      <c r="B40" s="39" t="s">
        <v>231</v>
      </c>
      <c r="C40" s="39" t="s">
        <v>231</v>
      </c>
      <c r="D40" s="23" t="s">
        <v>232</v>
      </c>
      <c r="E40" s="28">
        <v>2</v>
      </c>
      <c r="F40" s="25">
        <f>4000/E40</f>
        <v>2000</v>
      </c>
      <c r="G40" s="26">
        <f>169.7/G$1</f>
        <v>212.125</v>
      </c>
      <c r="H40" s="26">
        <f>0/H$1</f>
        <v>0</v>
      </c>
      <c r="I40" s="26">
        <f>(21+50)/I$1</f>
        <v>88.75</v>
      </c>
      <c r="J40" s="67">
        <f>165/J$1</f>
        <v>206.25</v>
      </c>
      <c r="K40" s="79">
        <v>0</v>
      </c>
      <c r="L40" s="89">
        <f>8*60*1.1/2</f>
        <v>264</v>
      </c>
      <c r="M40" s="80">
        <v>60</v>
      </c>
      <c r="N40" s="80">
        <f t="shared" si="0"/>
        <v>831.125</v>
      </c>
      <c r="O40" s="81">
        <v>34.299999999999997</v>
      </c>
      <c r="P40" s="81">
        <f t="shared" ref="P40:P42" si="33">ROUND((O40*N40/3600)*1.02,2)</f>
        <v>8.08</v>
      </c>
      <c r="Q40" s="80">
        <v>144.27500000000001</v>
      </c>
      <c r="R40" s="26">
        <v>162.80000000000001</v>
      </c>
      <c r="S40" s="81">
        <f t="shared" ref="S40:S42" si="34">ROUND((R40*Q40/3600)*1.02,2)</f>
        <v>6.65</v>
      </c>
      <c r="T40" s="108">
        <f t="shared" si="1"/>
        <v>14.73</v>
      </c>
      <c r="U40" s="119">
        <v>23205</v>
      </c>
      <c r="V40" s="109">
        <v>423.86800144</v>
      </c>
      <c r="W40" s="110">
        <f t="shared" si="29"/>
        <v>0.84773600287999995</v>
      </c>
      <c r="X40" s="120">
        <f t="shared" si="30"/>
        <v>6.47</v>
      </c>
      <c r="Y40" s="120">
        <f>ROUNDUP(P40*0.6,2)</f>
        <v>4.8499999999999996</v>
      </c>
      <c r="Z40" s="145">
        <f t="shared" si="2"/>
        <v>26.9</v>
      </c>
      <c r="AA40" s="151">
        <v>464</v>
      </c>
      <c r="AB40" s="149"/>
      <c r="AC40" s="147"/>
    </row>
    <row r="41" spans="1:29" s="2" customFormat="1" ht="16.95" customHeight="1" x14ac:dyDescent="0.25">
      <c r="A41" s="20">
        <v>45766</v>
      </c>
      <c r="B41" s="20" t="s">
        <v>233</v>
      </c>
      <c r="C41" s="32" t="s">
        <v>234</v>
      </c>
      <c r="D41" s="29" t="s">
        <v>235</v>
      </c>
      <c r="E41" s="24">
        <v>2</v>
      </c>
      <c r="F41" s="30">
        <f>6100/E41</f>
        <v>3050</v>
      </c>
      <c r="G41" s="26">
        <f>164.421052631579/0.8</f>
        <v>205.52631578947401</v>
      </c>
      <c r="H41" s="26">
        <v>0</v>
      </c>
      <c r="I41" s="26">
        <f>(25.5)/I$1</f>
        <v>31.875</v>
      </c>
      <c r="J41" s="26">
        <f>99/0.8</f>
        <v>123.75</v>
      </c>
      <c r="K41" s="80">
        <v>0</v>
      </c>
      <c r="L41" s="79">
        <v>480</v>
      </c>
      <c r="M41" s="80">
        <v>60</v>
      </c>
      <c r="N41" s="80">
        <f t="shared" si="0"/>
        <v>901.15131578947398</v>
      </c>
      <c r="O41" s="81">
        <v>34.299999999999997</v>
      </c>
      <c r="P41" s="81">
        <f t="shared" si="33"/>
        <v>8.76</v>
      </c>
      <c r="Q41" s="80">
        <v>164.81578947368399</v>
      </c>
      <c r="R41" s="26">
        <v>162.80000000000001</v>
      </c>
      <c r="S41" s="81">
        <f t="shared" si="34"/>
        <v>7.6</v>
      </c>
      <c r="T41" s="108">
        <f t="shared" si="1"/>
        <v>16.36</v>
      </c>
      <c r="U41" s="23">
        <v>5000</v>
      </c>
      <c r="V41" s="114">
        <v>340.69889871999999</v>
      </c>
      <c r="W41" s="110">
        <f t="shared" si="29"/>
        <v>0.68139779743999995</v>
      </c>
      <c r="X41" s="112">
        <f>ROUNDUP(P41*$X$1,2)</f>
        <v>7.01</v>
      </c>
      <c r="Y41" s="112">
        <f>ROUNDUP(P41*0.9,2)</f>
        <v>7.89</v>
      </c>
      <c r="Z41" s="145">
        <f t="shared" si="2"/>
        <v>31.95</v>
      </c>
      <c r="AA41" s="151">
        <v>249</v>
      </c>
      <c r="AB41" s="149"/>
      <c r="AC41" s="147"/>
    </row>
    <row r="42" spans="1:29" s="2" customFormat="1" ht="16.95" customHeight="1" x14ac:dyDescent="0.3">
      <c r="A42" s="33">
        <v>45766</v>
      </c>
      <c r="B42" s="33" t="s">
        <v>236</v>
      </c>
      <c r="C42" s="57" t="s">
        <v>237</v>
      </c>
      <c r="D42" s="57" t="s">
        <v>238</v>
      </c>
      <c r="E42" s="50">
        <v>1</v>
      </c>
      <c r="F42" s="51">
        <f>500/E42</f>
        <v>500</v>
      </c>
      <c r="G42" s="38">
        <f>350/G$1</f>
        <v>437.5</v>
      </c>
      <c r="H42" s="38">
        <f>0/H$1</f>
        <v>0</v>
      </c>
      <c r="I42" s="38">
        <f>33/I$1</f>
        <v>41.25</v>
      </c>
      <c r="J42" s="90">
        <f>194/J$1</f>
        <v>242.5</v>
      </c>
      <c r="K42" s="83">
        <v>0</v>
      </c>
      <c r="L42" s="85">
        <f>12*60*1.1/2</f>
        <v>396</v>
      </c>
      <c r="M42" s="85">
        <v>90</v>
      </c>
      <c r="N42" s="85">
        <f t="shared" si="0"/>
        <v>1207.25</v>
      </c>
      <c r="O42" s="86">
        <v>34.299999999999997</v>
      </c>
      <c r="P42" s="86">
        <f t="shared" si="33"/>
        <v>11.73</v>
      </c>
      <c r="Q42" s="85">
        <v>305</v>
      </c>
      <c r="R42" s="38">
        <v>162.80000000000001</v>
      </c>
      <c r="S42" s="86">
        <f t="shared" si="34"/>
        <v>14.07</v>
      </c>
      <c r="T42" s="86">
        <f t="shared" si="1"/>
        <v>25.8</v>
      </c>
      <c r="U42" s="127">
        <v>600</v>
      </c>
      <c r="V42" s="122">
        <v>211.18918612799999</v>
      </c>
      <c r="W42" s="116">
        <f t="shared" ref="W42:W46" si="35">V42*0.004</f>
        <v>0.844756744512</v>
      </c>
      <c r="X42" s="132">
        <f t="shared" ref="X42:X46" si="36">ROUNDUP(P42*1,2)</f>
        <v>11.73</v>
      </c>
      <c r="Y42" s="132">
        <f>ROUNDUP(P42*0.8,2)</f>
        <v>9.39</v>
      </c>
      <c r="Z42" s="152">
        <f t="shared" si="2"/>
        <v>47.77</v>
      </c>
      <c r="AA42" s="154">
        <v>203</v>
      </c>
      <c r="AB42" s="149"/>
      <c r="AC42" s="147"/>
    </row>
    <row r="43" spans="1:29" s="2" customFormat="1" ht="16.95" customHeight="1" x14ac:dyDescent="0.3">
      <c r="A43" s="20">
        <v>45766</v>
      </c>
      <c r="B43" s="20" t="s">
        <v>239</v>
      </c>
      <c r="C43" s="56" t="s">
        <v>240</v>
      </c>
      <c r="D43" s="29" t="s">
        <v>241</v>
      </c>
      <c r="E43" s="24">
        <v>6</v>
      </c>
      <c r="F43" s="30">
        <v>500</v>
      </c>
      <c r="G43" s="26">
        <f>45.8/G$1</f>
        <v>57.25</v>
      </c>
      <c r="H43" s="26">
        <f>70/0.95</f>
        <v>73.684210526315795</v>
      </c>
      <c r="I43" s="26">
        <f>(135+30)/I$1</f>
        <v>206.25</v>
      </c>
      <c r="J43" s="26">
        <f>132/J$1</f>
        <v>165</v>
      </c>
      <c r="K43" s="80">
        <v>0</v>
      </c>
      <c r="L43" s="79">
        <f>10*1.1*60/2</f>
        <v>330</v>
      </c>
      <c r="M43" s="80">
        <v>60</v>
      </c>
      <c r="N43" s="80">
        <f t="shared" si="0"/>
        <v>892.18421052631595</v>
      </c>
      <c r="O43" s="81">
        <v>34.299999999999997</v>
      </c>
      <c r="P43" s="81">
        <f t="shared" si="31"/>
        <v>8.93</v>
      </c>
      <c r="Q43" s="95">
        <v>74.266666666666694</v>
      </c>
      <c r="R43" s="26">
        <v>162.80000000000001</v>
      </c>
      <c r="S43" s="81">
        <f t="shared" si="32"/>
        <v>3.53</v>
      </c>
      <c r="T43" s="108">
        <f t="shared" si="1"/>
        <v>12.46</v>
      </c>
      <c r="U43" s="119">
        <v>3000</v>
      </c>
      <c r="V43" s="130">
        <v>75.252657720000002</v>
      </c>
      <c r="W43" s="110">
        <f t="shared" ref="W43:W47" si="37">V43*0.002</f>
        <v>0.15050531544000001</v>
      </c>
      <c r="X43" s="120">
        <f t="shared" ref="X43:X47" si="38">ROUNDUP(P43*1.2,2)</f>
        <v>10.72</v>
      </c>
      <c r="Y43" s="120">
        <f t="shared" ref="Y43:Y47" si="39">ROUNDUP(P43*1.5,2)</f>
        <v>13.4</v>
      </c>
      <c r="Z43" s="145">
        <f t="shared" si="2"/>
        <v>36.74</v>
      </c>
      <c r="AA43" s="121">
        <v>143</v>
      </c>
      <c r="AC43" s="147"/>
    </row>
    <row r="44" spans="1:29" s="2" customFormat="1" ht="16.95" customHeight="1" x14ac:dyDescent="0.25">
      <c r="A44" s="33">
        <v>45766</v>
      </c>
      <c r="B44" s="33" t="s">
        <v>242</v>
      </c>
      <c r="C44" s="61" t="s">
        <v>243</v>
      </c>
      <c r="D44" s="53" t="s">
        <v>244</v>
      </c>
      <c r="E44" s="50">
        <v>1</v>
      </c>
      <c r="F44" s="54">
        <v>500</v>
      </c>
      <c r="G44" s="38">
        <f>65/G$1</f>
        <v>81.25</v>
      </c>
      <c r="H44" s="38">
        <f t="shared" ref="H44:H46" si="40">0/$H$1</f>
        <v>0</v>
      </c>
      <c r="I44" s="38">
        <f>(25)/I$1</f>
        <v>31.25</v>
      </c>
      <c r="J44" s="38">
        <f>90/J$1</f>
        <v>112.5</v>
      </c>
      <c r="K44" s="85">
        <v>0</v>
      </c>
      <c r="L44" s="83">
        <f>15*1.1*60/2</f>
        <v>495</v>
      </c>
      <c r="M44" s="85">
        <v>90</v>
      </c>
      <c r="N44" s="85">
        <f t="shared" si="0"/>
        <v>810</v>
      </c>
      <c r="O44" s="86">
        <v>34.299999999999997</v>
      </c>
      <c r="P44" s="86">
        <f t="shared" si="31"/>
        <v>8.1</v>
      </c>
      <c r="Q44" s="85">
        <v>81.25</v>
      </c>
      <c r="R44" s="38">
        <v>162.80000000000001</v>
      </c>
      <c r="S44" s="86">
        <f t="shared" si="32"/>
        <v>3.86</v>
      </c>
      <c r="T44" s="86">
        <f t="shared" si="1"/>
        <v>11.96</v>
      </c>
      <c r="U44" s="57">
        <v>740</v>
      </c>
      <c r="V44" s="133">
        <v>116.7827762</v>
      </c>
      <c r="W44" s="116">
        <f t="shared" si="35"/>
        <v>0.46713110479999997</v>
      </c>
      <c r="X44" s="124">
        <f t="shared" si="38"/>
        <v>9.7200000000000006</v>
      </c>
      <c r="Y44" s="124">
        <f t="shared" si="39"/>
        <v>12.15</v>
      </c>
      <c r="Z44" s="152">
        <f t="shared" si="2"/>
        <v>34.299999999999997</v>
      </c>
      <c r="AA44" s="157">
        <v>133</v>
      </c>
      <c r="AC44" s="147"/>
    </row>
    <row r="45" spans="1:29" s="2" customFormat="1" ht="16.95" customHeight="1" x14ac:dyDescent="0.25">
      <c r="A45" s="20">
        <v>45766</v>
      </c>
      <c r="B45" s="20" t="s">
        <v>245</v>
      </c>
      <c r="C45" s="32" t="s">
        <v>246</v>
      </c>
      <c r="D45" s="29" t="s">
        <v>247</v>
      </c>
      <c r="E45" s="24">
        <v>2</v>
      </c>
      <c r="F45" s="30">
        <f>1030/2</f>
        <v>515</v>
      </c>
      <c r="G45" s="26">
        <f>220/G$1</f>
        <v>275</v>
      </c>
      <c r="H45" s="26">
        <f t="shared" si="40"/>
        <v>0</v>
      </c>
      <c r="I45" s="26">
        <f>(45)/I$1</f>
        <v>56.25</v>
      </c>
      <c r="J45" s="26">
        <f>120/J$1</f>
        <v>150</v>
      </c>
      <c r="K45" s="80">
        <v>0</v>
      </c>
      <c r="L45" s="79">
        <f t="shared" ref="L45:L47" si="41">10*1.05*60/2</f>
        <v>315</v>
      </c>
      <c r="M45" s="80">
        <v>60</v>
      </c>
      <c r="N45" s="80">
        <f t="shared" si="0"/>
        <v>856.25</v>
      </c>
      <c r="O45" s="81">
        <v>34.299999999999997</v>
      </c>
      <c r="P45" s="81">
        <f t="shared" si="31"/>
        <v>8.57</v>
      </c>
      <c r="Q45" s="80">
        <v>200</v>
      </c>
      <c r="R45" s="26">
        <v>162.80000000000001</v>
      </c>
      <c r="S45" s="81">
        <f t="shared" si="32"/>
        <v>9.5</v>
      </c>
      <c r="T45" s="108">
        <f t="shared" si="1"/>
        <v>18.07</v>
      </c>
      <c r="U45" s="23">
        <v>1350</v>
      </c>
      <c r="V45" s="23">
        <v>199.17923160000001</v>
      </c>
      <c r="W45" s="110">
        <f t="shared" si="37"/>
        <v>0.39835846320000001</v>
      </c>
      <c r="X45" s="112">
        <f t="shared" si="36"/>
        <v>8.57</v>
      </c>
      <c r="Y45" s="112">
        <f t="shared" ref="Y45:Y49" si="42">ROUNDUP(P45*1.2,2)</f>
        <v>10.29</v>
      </c>
      <c r="Z45" s="145">
        <f t="shared" si="2"/>
        <v>37.33</v>
      </c>
      <c r="AA45" s="121">
        <v>523</v>
      </c>
      <c r="AC45" s="147"/>
    </row>
    <row r="46" spans="1:29" s="2" customFormat="1" ht="16.95" customHeight="1" x14ac:dyDescent="0.25">
      <c r="A46" s="20">
        <v>45766</v>
      </c>
      <c r="B46" s="62" t="s">
        <v>248</v>
      </c>
      <c r="C46" s="63" t="s">
        <v>249</v>
      </c>
      <c r="D46" s="29" t="s">
        <v>250</v>
      </c>
      <c r="E46" s="24">
        <v>4</v>
      </c>
      <c r="F46" s="30">
        <v>500</v>
      </c>
      <c r="G46" s="26">
        <f>70/G$1</f>
        <v>87.5</v>
      </c>
      <c r="H46" s="26">
        <f t="shared" si="40"/>
        <v>0</v>
      </c>
      <c r="I46" s="26">
        <f>(28)/I$1</f>
        <v>35</v>
      </c>
      <c r="J46" s="26">
        <f>162/J$1</f>
        <v>202.5</v>
      </c>
      <c r="K46" s="80">
        <v>0</v>
      </c>
      <c r="L46" s="79">
        <f t="shared" si="41"/>
        <v>315</v>
      </c>
      <c r="M46" s="80">
        <v>60</v>
      </c>
      <c r="N46" s="80">
        <f t="shared" si="0"/>
        <v>700</v>
      </c>
      <c r="O46" s="81">
        <v>34.299999999999997</v>
      </c>
      <c r="P46" s="81">
        <f t="shared" si="31"/>
        <v>7</v>
      </c>
      <c r="Q46" s="80">
        <v>94.5</v>
      </c>
      <c r="R46" s="26">
        <v>162.80000000000001</v>
      </c>
      <c r="S46" s="81">
        <f t="shared" si="32"/>
        <v>4.49</v>
      </c>
      <c r="T46" s="108">
        <f t="shared" si="1"/>
        <v>11.49</v>
      </c>
      <c r="U46" s="23">
        <v>500</v>
      </c>
      <c r="V46" s="23">
        <v>66.847566928000006</v>
      </c>
      <c r="W46" s="126">
        <f t="shared" si="35"/>
        <v>0.26739026771199997</v>
      </c>
      <c r="X46" s="134">
        <f t="shared" si="36"/>
        <v>7</v>
      </c>
      <c r="Y46" s="134">
        <f t="shared" si="42"/>
        <v>8.4</v>
      </c>
      <c r="Z46" s="145">
        <f t="shared" si="2"/>
        <v>27.16</v>
      </c>
      <c r="AA46" s="113">
        <v>154</v>
      </c>
      <c r="AB46" s="158"/>
      <c r="AC46" s="147"/>
    </row>
    <row r="47" spans="1:29" s="2" customFormat="1" ht="16.95" customHeight="1" x14ac:dyDescent="0.25">
      <c r="A47" s="20">
        <v>45766</v>
      </c>
      <c r="B47" s="20" t="s">
        <v>251</v>
      </c>
      <c r="C47" s="32" t="s">
        <v>252</v>
      </c>
      <c r="D47" s="29" t="s">
        <v>253</v>
      </c>
      <c r="E47" s="24">
        <v>2</v>
      </c>
      <c r="F47" s="30">
        <f>1960/E47</f>
        <v>980</v>
      </c>
      <c r="G47" s="26">
        <f>146/G$1</f>
        <v>182.5</v>
      </c>
      <c r="H47" s="26">
        <f>0/$I$1</f>
        <v>0</v>
      </c>
      <c r="I47" s="26">
        <f>(39)/I$1</f>
        <v>48.75</v>
      </c>
      <c r="J47" s="26">
        <f>228/J$1</f>
        <v>285</v>
      </c>
      <c r="K47" s="80">
        <v>0</v>
      </c>
      <c r="L47" s="79">
        <f t="shared" si="41"/>
        <v>315</v>
      </c>
      <c r="M47" s="80">
        <v>60</v>
      </c>
      <c r="N47" s="80">
        <f t="shared" si="0"/>
        <v>891.25</v>
      </c>
      <c r="O47" s="81">
        <v>34.299999999999997</v>
      </c>
      <c r="P47" s="81">
        <f t="shared" si="31"/>
        <v>8.92</v>
      </c>
      <c r="Q47" s="80">
        <v>165.5</v>
      </c>
      <c r="R47" s="26">
        <v>162.80000000000001</v>
      </c>
      <c r="S47" s="81">
        <f t="shared" si="32"/>
        <v>7.86</v>
      </c>
      <c r="T47" s="108">
        <f t="shared" si="1"/>
        <v>16.78</v>
      </c>
      <c r="U47" s="23">
        <v>3300</v>
      </c>
      <c r="V47" s="23">
        <v>83.536691000000005</v>
      </c>
      <c r="W47" s="110">
        <f t="shared" si="37"/>
        <v>0.16707338199999999</v>
      </c>
      <c r="X47" s="112">
        <f t="shared" si="38"/>
        <v>10.71</v>
      </c>
      <c r="Y47" s="112">
        <f t="shared" si="39"/>
        <v>13.38</v>
      </c>
      <c r="Z47" s="145">
        <f t="shared" si="2"/>
        <v>41.04</v>
      </c>
      <c r="AA47" s="151">
        <v>150</v>
      </c>
      <c r="AB47" s="158"/>
      <c r="AC47" s="147"/>
    </row>
    <row r="48" spans="1:29" s="2" customFormat="1" ht="16.95" customHeight="1" x14ac:dyDescent="0.25">
      <c r="A48" s="33">
        <v>45766</v>
      </c>
      <c r="B48" s="33" t="s">
        <v>254</v>
      </c>
      <c r="C48" s="61" t="s">
        <v>255</v>
      </c>
      <c r="D48" s="53" t="s">
        <v>256</v>
      </c>
      <c r="E48" s="50">
        <v>2</v>
      </c>
      <c r="F48" s="54">
        <f>1000/E48</f>
        <v>500</v>
      </c>
      <c r="G48" s="38">
        <f>132.7/G$1</f>
        <v>165.875</v>
      </c>
      <c r="H48" s="38">
        <f>0/$H$1</f>
        <v>0</v>
      </c>
      <c r="I48" s="38">
        <f>(37+60)/I$1</f>
        <v>121.25</v>
      </c>
      <c r="J48" s="38">
        <f>90/J$1</f>
        <v>112.5</v>
      </c>
      <c r="K48" s="85">
        <v>0</v>
      </c>
      <c r="L48" s="83">
        <f>10*60*1.05/2</f>
        <v>315</v>
      </c>
      <c r="M48" s="85">
        <v>60</v>
      </c>
      <c r="N48" s="85">
        <f t="shared" si="0"/>
        <v>774.625</v>
      </c>
      <c r="O48" s="86">
        <v>34.299999999999997</v>
      </c>
      <c r="P48" s="86">
        <f t="shared" si="31"/>
        <v>7.75</v>
      </c>
      <c r="Q48" s="85">
        <v>132.5</v>
      </c>
      <c r="R48" s="38">
        <v>162.80000000000001</v>
      </c>
      <c r="S48" s="86">
        <f t="shared" si="32"/>
        <v>6.29</v>
      </c>
      <c r="T48" s="86">
        <f t="shared" si="1"/>
        <v>14.04</v>
      </c>
      <c r="U48" s="57">
        <f t="shared" ref="U48:U111" si="43">F48</f>
        <v>500</v>
      </c>
      <c r="V48" s="57">
        <v>84.965036999999995</v>
      </c>
      <c r="W48" s="116">
        <f t="shared" ref="W48:W61" si="44">V48*0.004</f>
        <v>0.33986014799999997</v>
      </c>
      <c r="X48" s="124">
        <f>ROUNDUP(P48*1,2)</f>
        <v>7.75</v>
      </c>
      <c r="Y48" s="124">
        <f t="shared" si="42"/>
        <v>9.3000000000000007</v>
      </c>
      <c r="Z48" s="152">
        <f t="shared" si="2"/>
        <v>31.43</v>
      </c>
      <c r="AA48" s="159">
        <v>212</v>
      </c>
      <c r="AC48" s="147"/>
    </row>
    <row r="49" spans="1:28" s="3" customFormat="1" ht="16.95" customHeight="1" x14ac:dyDescent="0.3">
      <c r="A49" s="20">
        <v>45768</v>
      </c>
      <c r="B49" s="20" t="s">
        <v>257</v>
      </c>
      <c r="C49" s="39" t="s">
        <v>258</v>
      </c>
      <c r="D49" s="23" t="s">
        <v>259</v>
      </c>
      <c r="E49" s="64">
        <v>1</v>
      </c>
      <c r="F49" s="65">
        <v>500</v>
      </c>
      <c r="G49" s="26">
        <f>437/G$1</f>
        <v>546.25</v>
      </c>
      <c r="H49" s="26">
        <f>514.29/0.95</f>
        <v>541.35789473684201</v>
      </c>
      <c r="I49" s="26">
        <f>58/I$1</f>
        <v>72.5</v>
      </c>
      <c r="J49" s="67">
        <f>390/J$1</f>
        <v>487.5</v>
      </c>
      <c r="K49" s="79">
        <v>0</v>
      </c>
      <c r="L49" s="92">
        <f>35*60*1.1/2</f>
        <v>1155</v>
      </c>
      <c r="M49" s="80">
        <v>90</v>
      </c>
      <c r="N49" s="80">
        <f t="shared" si="0"/>
        <v>2892.6078947368401</v>
      </c>
      <c r="O49" s="81">
        <v>34.299999999999997</v>
      </c>
      <c r="P49" s="81">
        <f t="shared" si="31"/>
        <v>28.94</v>
      </c>
      <c r="Q49" s="135">
        <v>450.28571428571399</v>
      </c>
      <c r="R49" s="26">
        <v>162.80000000000001</v>
      </c>
      <c r="S49" s="81">
        <f t="shared" si="32"/>
        <v>21.38</v>
      </c>
      <c r="T49" s="108">
        <f t="shared" si="1"/>
        <v>50.32</v>
      </c>
      <c r="U49" s="23">
        <f t="shared" si="43"/>
        <v>500</v>
      </c>
      <c r="V49" s="113">
        <v>1517.1095784639999</v>
      </c>
      <c r="W49" s="136">
        <f t="shared" si="44"/>
        <v>6.0684383138560003</v>
      </c>
      <c r="X49" s="136">
        <f>ROUNDUP(P49*1,2)</f>
        <v>28.94</v>
      </c>
      <c r="Y49" s="136">
        <f t="shared" si="42"/>
        <v>34.729999999999997</v>
      </c>
      <c r="Z49" s="160">
        <f t="shared" si="2"/>
        <v>120.06</v>
      </c>
      <c r="AA49" s="161">
        <v>1634</v>
      </c>
      <c r="AB49" s="162"/>
    </row>
    <row r="50" spans="1:28" s="3" customFormat="1" ht="16.95" customHeight="1" x14ac:dyDescent="0.3">
      <c r="A50" s="20">
        <v>45776</v>
      </c>
      <c r="B50" s="20" t="s">
        <v>27</v>
      </c>
      <c r="C50" s="56" t="s">
        <v>28</v>
      </c>
      <c r="D50" s="66" t="s">
        <v>29</v>
      </c>
      <c r="E50" s="64">
        <v>1</v>
      </c>
      <c r="F50" s="23">
        <v>375</v>
      </c>
      <c r="G50" s="26">
        <f>1497.18/G$1</f>
        <v>1871.4749999999999</v>
      </c>
      <c r="H50" s="67">
        <f>540/0.95</f>
        <v>568.42105263157896</v>
      </c>
      <c r="I50" s="67">
        <f>(23+630)/I$1</f>
        <v>816.25</v>
      </c>
      <c r="J50" s="67">
        <f>1710/J$1</f>
        <v>2137.5</v>
      </c>
      <c r="K50" s="80">
        <v>240</v>
      </c>
      <c r="L50" s="96">
        <f>198*1.1*60/2</f>
        <v>6534</v>
      </c>
      <c r="M50" s="80">
        <v>180</v>
      </c>
      <c r="N50" s="80">
        <f t="shared" si="0"/>
        <v>12347.6460526316</v>
      </c>
      <c r="O50" s="81">
        <v>34.299999999999997</v>
      </c>
      <c r="P50" s="81">
        <f t="shared" si="31"/>
        <v>123.53</v>
      </c>
      <c r="Q50" s="135">
        <v>2558.1128571428599</v>
      </c>
      <c r="R50" s="81">
        <v>162.80000000000001</v>
      </c>
      <c r="S50" s="81">
        <f t="shared" si="32"/>
        <v>121.47</v>
      </c>
      <c r="T50" s="108">
        <f t="shared" si="1"/>
        <v>245</v>
      </c>
      <c r="U50" s="23">
        <f t="shared" si="43"/>
        <v>375</v>
      </c>
      <c r="V50" s="137">
        <v>18036.189163694002</v>
      </c>
      <c r="W50" s="136">
        <f t="shared" si="44"/>
        <v>72.144756654776003</v>
      </c>
      <c r="X50" s="136">
        <f t="shared" ref="X50:X53" si="45">ROUNDUP(P50*1.2,2)</f>
        <v>148.24</v>
      </c>
      <c r="Y50" s="136">
        <f t="shared" ref="Y50:Y53" si="46">ROUNDUP(P50*1.5,2)</f>
        <v>185.3</v>
      </c>
      <c r="Z50" s="163">
        <f t="shared" si="2"/>
        <v>650.69000000000005</v>
      </c>
      <c r="AA50" s="121">
        <v>8688</v>
      </c>
      <c r="AB50" s="162"/>
    </row>
    <row r="51" spans="1:28" s="3" customFormat="1" ht="16.95" customHeight="1" x14ac:dyDescent="0.3">
      <c r="A51" s="20">
        <v>45776</v>
      </c>
      <c r="B51" s="20" t="s">
        <v>260</v>
      </c>
      <c r="C51" s="68" t="s">
        <v>261</v>
      </c>
      <c r="D51" s="66" t="s">
        <v>262</v>
      </c>
      <c r="E51" s="64">
        <v>4</v>
      </c>
      <c r="F51" s="23">
        <v>300</v>
      </c>
      <c r="G51" s="26">
        <f>136/G$1</f>
        <v>170</v>
      </c>
      <c r="H51" s="26">
        <f t="shared" ref="H51:H55" si="47">0/$G$1</f>
        <v>0</v>
      </c>
      <c r="I51" s="26">
        <f>(27.5)/I$1</f>
        <v>34.375</v>
      </c>
      <c r="J51" s="26">
        <f>70/J$1</f>
        <v>87.5</v>
      </c>
      <c r="K51" s="80">
        <v>0</v>
      </c>
      <c r="L51" s="97">
        <f>12*1.1*60/2</f>
        <v>396</v>
      </c>
      <c r="M51" s="80">
        <v>90</v>
      </c>
      <c r="N51" s="80">
        <f t="shared" si="0"/>
        <v>777.875</v>
      </c>
      <c r="O51" s="81">
        <v>34.299999999999997</v>
      </c>
      <c r="P51" s="81">
        <f t="shared" si="31"/>
        <v>7.78</v>
      </c>
      <c r="Q51" s="135">
        <v>105</v>
      </c>
      <c r="R51" s="81">
        <v>162.80000000000001</v>
      </c>
      <c r="S51" s="81">
        <f t="shared" si="32"/>
        <v>4.99</v>
      </c>
      <c r="T51" s="108">
        <f t="shared" si="1"/>
        <v>12.77</v>
      </c>
      <c r="U51" s="23">
        <f t="shared" si="43"/>
        <v>300</v>
      </c>
      <c r="V51" s="137">
        <v>231.32389982999999</v>
      </c>
      <c r="W51" s="136">
        <f t="shared" si="44"/>
        <v>0.92529559932000005</v>
      </c>
      <c r="X51" s="136">
        <f t="shared" si="45"/>
        <v>9.34</v>
      </c>
      <c r="Y51" s="136">
        <f t="shared" si="46"/>
        <v>11.67</v>
      </c>
      <c r="Z51" s="163">
        <f t="shared" si="2"/>
        <v>34.71</v>
      </c>
      <c r="AA51" s="121">
        <v>688</v>
      </c>
      <c r="AB51" s="162"/>
    </row>
    <row r="52" spans="1:28" s="3" customFormat="1" ht="16.95" customHeight="1" x14ac:dyDescent="0.3">
      <c r="A52" s="20">
        <v>45776</v>
      </c>
      <c r="B52" s="20" t="s">
        <v>263</v>
      </c>
      <c r="C52" s="68" t="s">
        <v>264</v>
      </c>
      <c r="D52" s="66" t="s">
        <v>265</v>
      </c>
      <c r="E52" s="64">
        <v>1</v>
      </c>
      <c r="F52" s="23">
        <f>375*8</f>
        <v>3000</v>
      </c>
      <c r="G52" s="26">
        <f>582/G$1</f>
        <v>727.5</v>
      </c>
      <c r="H52" s="26">
        <f t="shared" si="47"/>
        <v>0</v>
      </c>
      <c r="I52" s="26">
        <f>(0)/I$1</f>
        <v>0</v>
      </c>
      <c r="J52" s="26">
        <f>352/J$1</f>
        <v>440</v>
      </c>
      <c r="K52" s="80">
        <v>50</v>
      </c>
      <c r="L52" s="96">
        <f>270*1.1*60/3/2</f>
        <v>2970</v>
      </c>
      <c r="M52" s="80">
        <v>90</v>
      </c>
      <c r="N52" s="80">
        <f t="shared" si="0"/>
        <v>4277.5</v>
      </c>
      <c r="O52" s="81">
        <v>34.299999999999997</v>
      </c>
      <c r="P52" s="98">
        <f t="shared" si="31"/>
        <v>42.79</v>
      </c>
      <c r="Q52" s="135">
        <v>652</v>
      </c>
      <c r="R52" s="81">
        <v>162.80000000000001</v>
      </c>
      <c r="S52" s="98">
        <f t="shared" si="32"/>
        <v>30.96</v>
      </c>
      <c r="T52" s="108">
        <f t="shared" si="1"/>
        <v>73.75</v>
      </c>
      <c r="U52" s="23">
        <f t="shared" si="43"/>
        <v>3000</v>
      </c>
      <c r="V52" s="137">
        <v>6507.8290123360002</v>
      </c>
      <c r="W52" s="136">
        <f t="shared" si="44"/>
        <v>26.031316049343999</v>
      </c>
      <c r="X52" s="136">
        <f t="shared" si="45"/>
        <v>51.35</v>
      </c>
      <c r="Y52" s="136">
        <f t="shared" si="46"/>
        <v>64.19</v>
      </c>
      <c r="Z52" s="163">
        <f t="shared" si="2"/>
        <v>215.33</v>
      </c>
      <c r="AA52" s="164">
        <v>2791</v>
      </c>
      <c r="AB52" s="162"/>
    </row>
    <row r="53" spans="1:28" s="3" customFormat="1" ht="16.95" customHeight="1" x14ac:dyDescent="0.3">
      <c r="A53" s="20">
        <v>45776</v>
      </c>
      <c r="B53" s="20"/>
      <c r="C53" s="69" t="s">
        <v>266</v>
      </c>
      <c r="D53" s="66"/>
      <c r="E53" s="64">
        <v>1</v>
      </c>
      <c r="F53" s="23">
        <v>300</v>
      </c>
      <c r="G53" s="26">
        <f>0/G$1</f>
        <v>0</v>
      </c>
      <c r="H53" s="26">
        <f t="shared" si="47"/>
        <v>0</v>
      </c>
      <c r="I53" s="26">
        <f>(0)/I$1</f>
        <v>0</v>
      </c>
      <c r="J53" s="26">
        <f>1220/J$1</f>
        <v>1525</v>
      </c>
      <c r="K53" s="80">
        <v>0</v>
      </c>
      <c r="L53" s="99">
        <f>210*1.1*60/3</f>
        <v>4620</v>
      </c>
      <c r="M53" s="80">
        <v>180</v>
      </c>
      <c r="N53" s="80">
        <f t="shared" si="0"/>
        <v>6325</v>
      </c>
      <c r="O53" s="81">
        <v>34.299999999999997</v>
      </c>
      <c r="P53" s="98">
        <f t="shared" si="31"/>
        <v>63.28</v>
      </c>
      <c r="Q53" s="135">
        <v>0</v>
      </c>
      <c r="R53" s="81">
        <v>162.80000000000001</v>
      </c>
      <c r="S53" s="98">
        <f t="shared" si="32"/>
        <v>0</v>
      </c>
      <c r="T53" s="108">
        <f t="shared" si="1"/>
        <v>63.28</v>
      </c>
      <c r="U53" s="23">
        <f t="shared" si="43"/>
        <v>300</v>
      </c>
      <c r="V53" s="137">
        <v>518.86</v>
      </c>
      <c r="W53" s="136">
        <f t="shared" si="44"/>
        <v>2.07544</v>
      </c>
      <c r="X53" s="136">
        <f t="shared" si="45"/>
        <v>75.94</v>
      </c>
      <c r="Y53" s="136">
        <f t="shared" si="46"/>
        <v>94.92</v>
      </c>
      <c r="Z53" s="163">
        <f t="shared" si="2"/>
        <v>236.22</v>
      </c>
      <c r="AA53" s="164">
        <v>41</v>
      </c>
      <c r="AB53" s="162"/>
    </row>
    <row r="54" spans="1:28" s="3" customFormat="1" ht="16.95" customHeight="1" x14ac:dyDescent="0.3">
      <c r="A54" s="20">
        <v>45785</v>
      </c>
      <c r="B54" s="70" t="s">
        <v>267</v>
      </c>
      <c r="C54" s="71" t="s">
        <v>255</v>
      </c>
      <c r="D54" s="29" t="s">
        <v>256</v>
      </c>
      <c r="E54" s="24">
        <v>2</v>
      </c>
      <c r="F54" s="23">
        <f>1000/E54</f>
        <v>500</v>
      </c>
      <c r="G54" s="26">
        <f>132.7/G$1</f>
        <v>165.875</v>
      </c>
      <c r="H54" s="26">
        <f t="shared" si="47"/>
        <v>0</v>
      </c>
      <c r="I54" s="26">
        <f>(37+60)/I$1</f>
        <v>121.25</v>
      </c>
      <c r="J54" s="100">
        <f>210/J$1</f>
        <v>262.5</v>
      </c>
      <c r="K54" s="80">
        <v>0</v>
      </c>
      <c r="L54" s="79">
        <f>10*60*1.1/2</f>
        <v>330</v>
      </c>
      <c r="M54" s="80">
        <v>60</v>
      </c>
      <c r="N54" s="80">
        <f t="shared" si="0"/>
        <v>939.625</v>
      </c>
      <c r="O54" s="81">
        <v>34.299999999999997</v>
      </c>
      <c r="P54" s="81">
        <f t="shared" si="31"/>
        <v>9.4</v>
      </c>
      <c r="Q54" s="135">
        <v>147.5</v>
      </c>
      <c r="R54" s="81">
        <v>162.80000000000001</v>
      </c>
      <c r="S54" s="81">
        <f t="shared" si="32"/>
        <v>7</v>
      </c>
      <c r="T54" s="108">
        <f t="shared" si="1"/>
        <v>16.399999999999999</v>
      </c>
      <c r="U54" s="23">
        <f t="shared" si="43"/>
        <v>500</v>
      </c>
      <c r="V54" s="138">
        <f>96</f>
        <v>96</v>
      </c>
      <c r="W54" s="139">
        <f t="shared" si="44"/>
        <v>0.38400000000000001</v>
      </c>
      <c r="X54" s="120">
        <f t="shared" ref="X54:X61" si="48">ROUNDUP(P54*1,2)</f>
        <v>9.4</v>
      </c>
      <c r="Y54" s="120">
        <f t="shared" ref="Y54:Y61" si="49">ROUNDUP(P54*1.2,2)</f>
        <v>11.28</v>
      </c>
      <c r="Z54" s="163">
        <f t="shared" si="2"/>
        <v>37.47</v>
      </c>
      <c r="AA54" s="121">
        <v>212</v>
      </c>
      <c r="AB54" s="162"/>
    </row>
    <row r="55" spans="1:28" s="3" customFormat="1" ht="16.95" customHeight="1" x14ac:dyDescent="0.3">
      <c r="A55" s="20">
        <v>45785</v>
      </c>
      <c r="B55" s="71" t="s">
        <v>268</v>
      </c>
      <c r="C55" s="71" t="s">
        <v>269</v>
      </c>
      <c r="D55" s="29" t="s">
        <v>270</v>
      </c>
      <c r="E55" s="24">
        <v>2</v>
      </c>
      <c r="F55" s="23">
        <v>500</v>
      </c>
      <c r="G55" s="26">
        <f>130.7/G$1</f>
        <v>163.375</v>
      </c>
      <c r="H55" s="26">
        <f t="shared" si="47"/>
        <v>0</v>
      </c>
      <c r="I55" s="26">
        <f>(37)/I$1</f>
        <v>46.25</v>
      </c>
      <c r="J55" s="26">
        <f>300/J$1</f>
        <v>375</v>
      </c>
      <c r="K55" s="80">
        <v>0</v>
      </c>
      <c r="L55" s="79">
        <f>15*1.1*60/2</f>
        <v>495</v>
      </c>
      <c r="M55" s="80">
        <v>60</v>
      </c>
      <c r="N55" s="80">
        <f t="shared" si="0"/>
        <v>1139.625</v>
      </c>
      <c r="O55" s="81">
        <v>34.299999999999997</v>
      </c>
      <c r="P55" s="81">
        <f t="shared" si="31"/>
        <v>11.4</v>
      </c>
      <c r="Q55" s="135">
        <v>155</v>
      </c>
      <c r="R55" s="81">
        <v>162.80000000000001</v>
      </c>
      <c r="S55" s="81">
        <f t="shared" si="32"/>
        <v>7.36</v>
      </c>
      <c r="T55" s="108">
        <f t="shared" si="1"/>
        <v>18.760000000000002</v>
      </c>
      <c r="U55" s="23">
        <f t="shared" si="43"/>
        <v>500</v>
      </c>
      <c r="V55" s="138">
        <v>201.57397792</v>
      </c>
      <c r="W55" s="139">
        <f t="shared" si="44"/>
        <v>0.80629591168000003</v>
      </c>
      <c r="X55" s="120">
        <f t="shared" si="48"/>
        <v>11.4</v>
      </c>
      <c r="Y55" s="120">
        <f t="shared" si="49"/>
        <v>13.68</v>
      </c>
      <c r="Z55" s="163">
        <f t="shared" si="2"/>
        <v>44.65</v>
      </c>
      <c r="AA55" s="121">
        <v>137</v>
      </c>
      <c r="AB55" s="162"/>
    </row>
    <row r="56" spans="1:28" s="3" customFormat="1" ht="16.95" customHeight="1" x14ac:dyDescent="0.3">
      <c r="A56" s="20">
        <v>45794</v>
      </c>
      <c r="B56" s="71" t="s">
        <v>271</v>
      </c>
      <c r="C56" s="71" t="s">
        <v>272</v>
      </c>
      <c r="D56" s="29" t="s">
        <v>273</v>
      </c>
      <c r="E56" s="24">
        <v>10</v>
      </c>
      <c r="F56" s="23" t="s">
        <v>48</v>
      </c>
      <c r="G56" s="26">
        <f>27.86/G$1</f>
        <v>34.825000000000003</v>
      </c>
      <c r="H56" s="26">
        <f>52/0.95</f>
        <v>54.7368421052632</v>
      </c>
      <c r="I56" s="26">
        <f>(0+15)/I$1</f>
        <v>18.75</v>
      </c>
      <c r="J56" s="26">
        <f>152/J$1-83</f>
        <v>107</v>
      </c>
      <c r="K56" s="80">
        <v>60</v>
      </c>
      <c r="L56" s="79">
        <f>8*1.1*60/2</f>
        <v>264</v>
      </c>
      <c r="M56" s="80">
        <v>90</v>
      </c>
      <c r="N56" s="80">
        <f t="shared" si="0"/>
        <v>629.31184210526305</v>
      </c>
      <c r="O56" s="81">
        <v>34.299999999999997</v>
      </c>
      <c r="P56" s="81">
        <f t="shared" si="31"/>
        <v>6.3</v>
      </c>
      <c r="Q56" s="135">
        <v>111.72499999999999</v>
      </c>
      <c r="R56" s="81">
        <v>162.80000000000001</v>
      </c>
      <c r="S56" s="81">
        <f t="shared" si="32"/>
        <v>5.31</v>
      </c>
      <c r="T56" s="108">
        <f t="shared" si="1"/>
        <v>11.61</v>
      </c>
      <c r="U56" s="23" t="str">
        <f t="shared" si="43"/>
        <v>&lt;500</v>
      </c>
      <c r="V56" s="138">
        <v>114.172344886</v>
      </c>
      <c r="W56" s="139">
        <f t="shared" si="44"/>
        <v>0.45668937954400002</v>
      </c>
      <c r="X56" s="120">
        <f>ROUNDUP(P56*1.2,2)</f>
        <v>7.56</v>
      </c>
      <c r="Y56" s="120">
        <f>ROUNDUP(P56*1.5,2)</f>
        <v>9.4499999999999993</v>
      </c>
      <c r="Z56" s="163">
        <f t="shared" si="2"/>
        <v>29.08</v>
      </c>
      <c r="AA56" s="121">
        <v>63</v>
      </c>
      <c r="AB56" s="162"/>
    </row>
    <row r="57" spans="1:28" s="3" customFormat="1" ht="16.95" customHeight="1" x14ac:dyDescent="0.3">
      <c r="A57" s="20">
        <v>45794</v>
      </c>
      <c r="B57" s="71" t="s">
        <v>274</v>
      </c>
      <c r="C57" s="71" t="s">
        <v>275</v>
      </c>
      <c r="D57" s="29" t="s">
        <v>276</v>
      </c>
      <c r="E57" s="24">
        <v>4</v>
      </c>
      <c r="F57" s="23" t="s">
        <v>48</v>
      </c>
      <c r="G57" s="26">
        <f>96.12/G$1</f>
        <v>120.15</v>
      </c>
      <c r="H57" s="26">
        <f t="shared" ref="H57:H61" si="50">0/$G$1</f>
        <v>0</v>
      </c>
      <c r="I57" s="26">
        <f>(0+30)/I$1</f>
        <v>37.5</v>
      </c>
      <c r="J57" s="26">
        <f>195/J$1</f>
        <v>243.75</v>
      </c>
      <c r="K57" s="80">
        <v>60</v>
      </c>
      <c r="L57" s="79">
        <f>9*1.1*60/2</f>
        <v>297</v>
      </c>
      <c r="M57" s="80">
        <v>90</v>
      </c>
      <c r="N57" s="80">
        <f t="shared" si="0"/>
        <v>848.4</v>
      </c>
      <c r="O57" s="81">
        <v>34.299999999999997</v>
      </c>
      <c r="P57" s="81">
        <f t="shared" si="31"/>
        <v>8.49</v>
      </c>
      <c r="Q57" s="135">
        <f>116.2525+60</f>
        <v>176.2525</v>
      </c>
      <c r="R57" s="81">
        <v>162.80000000000001</v>
      </c>
      <c r="S57" s="81">
        <f t="shared" si="32"/>
        <v>8.3699999999999992</v>
      </c>
      <c r="T57" s="108">
        <f t="shared" si="1"/>
        <v>16.86</v>
      </c>
      <c r="U57" s="23" t="str">
        <f t="shared" si="43"/>
        <v>&lt;500</v>
      </c>
      <c r="V57" s="138">
        <v>471.04143856799999</v>
      </c>
      <c r="W57" s="139">
        <f t="shared" si="44"/>
        <v>1.8841657542720001</v>
      </c>
      <c r="X57" s="120">
        <f>ROUNDUP(P57*1.2,2)</f>
        <v>10.19</v>
      </c>
      <c r="Y57" s="120">
        <f>ROUNDUP(P57*1.5,2)</f>
        <v>12.74</v>
      </c>
      <c r="Z57" s="163">
        <f t="shared" si="2"/>
        <v>41.68</v>
      </c>
      <c r="AA57" s="121">
        <v>230</v>
      </c>
      <c r="AB57" s="162"/>
    </row>
    <row r="58" spans="1:28" s="3" customFormat="1" ht="16.95" customHeight="1" x14ac:dyDescent="0.3">
      <c r="A58" s="20">
        <v>45796</v>
      </c>
      <c r="B58" s="71" t="s">
        <v>277</v>
      </c>
      <c r="C58" s="32" t="s">
        <v>278</v>
      </c>
      <c r="D58" s="72" t="s">
        <v>279</v>
      </c>
      <c r="E58" s="24">
        <v>2</v>
      </c>
      <c r="F58" s="23">
        <v>500</v>
      </c>
      <c r="G58" s="26">
        <f>242/G$1</f>
        <v>302.5</v>
      </c>
      <c r="H58" s="26">
        <f>280/0.95</f>
        <v>294.73684210526301</v>
      </c>
      <c r="I58" s="26">
        <f>(0+33)/I$1</f>
        <v>41.25</v>
      </c>
      <c r="J58" s="26">
        <f>270/J$1</f>
        <v>337.5</v>
      </c>
      <c r="K58" s="80">
        <v>0</v>
      </c>
      <c r="L58" s="79">
        <f>13*1.1*60/2</f>
        <v>429</v>
      </c>
      <c r="M58" s="80">
        <v>90</v>
      </c>
      <c r="N58" s="80">
        <f t="shared" si="0"/>
        <v>1494.9868421052599</v>
      </c>
      <c r="O58" s="81">
        <v>34.299999999999997</v>
      </c>
      <c r="P58" s="81">
        <f t="shared" si="31"/>
        <v>14.96</v>
      </c>
      <c r="Q58" s="135">
        <v>248</v>
      </c>
      <c r="R58" s="81">
        <v>162.80000000000001</v>
      </c>
      <c r="S58" s="81">
        <f t="shared" si="32"/>
        <v>11.78</v>
      </c>
      <c r="T58" s="108">
        <f t="shared" si="1"/>
        <v>26.74</v>
      </c>
      <c r="U58" s="23">
        <f t="shared" si="43"/>
        <v>500</v>
      </c>
      <c r="V58" s="113">
        <v>385.92338167999998</v>
      </c>
      <c r="W58" s="110">
        <f t="shared" si="44"/>
        <v>1.54369352672</v>
      </c>
      <c r="X58" s="112">
        <f t="shared" si="48"/>
        <v>14.96</v>
      </c>
      <c r="Y58" s="112">
        <f t="shared" si="49"/>
        <v>17.96</v>
      </c>
      <c r="Z58" s="163">
        <f t="shared" si="2"/>
        <v>61.21</v>
      </c>
      <c r="AA58" s="121">
        <v>1106</v>
      </c>
      <c r="AB58" s="162"/>
    </row>
    <row r="59" spans="1:28" s="3" customFormat="1" ht="16.95" customHeight="1" x14ac:dyDescent="0.3">
      <c r="A59" s="20">
        <v>45796</v>
      </c>
      <c r="B59" s="71" t="s">
        <v>280</v>
      </c>
      <c r="C59" s="32" t="s">
        <v>281</v>
      </c>
      <c r="D59" s="72" t="s">
        <v>282</v>
      </c>
      <c r="E59" s="24">
        <v>2</v>
      </c>
      <c r="F59" s="23">
        <v>500</v>
      </c>
      <c r="G59" s="26">
        <f>130/G$1</f>
        <v>162.5</v>
      </c>
      <c r="H59" s="26">
        <f t="shared" si="50"/>
        <v>0</v>
      </c>
      <c r="I59" s="26">
        <f>(90+27)/I$1</f>
        <v>146.25</v>
      </c>
      <c r="J59" s="26">
        <f>120/J$1</f>
        <v>150</v>
      </c>
      <c r="K59" s="80">
        <v>0</v>
      </c>
      <c r="L59" s="79">
        <f>8*1.1*60/2</f>
        <v>264</v>
      </c>
      <c r="M59" s="80">
        <v>90</v>
      </c>
      <c r="N59" s="80">
        <f t="shared" si="0"/>
        <v>812.75</v>
      </c>
      <c r="O59" s="81">
        <v>34.299999999999997</v>
      </c>
      <c r="P59" s="81">
        <f t="shared" si="31"/>
        <v>8.1300000000000008</v>
      </c>
      <c r="Q59" s="135">
        <v>152.5</v>
      </c>
      <c r="R59" s="81">
        <v>162.80000000000001</v>
      </c>
      <c r="S59" s="81">
        <f t="shared" si="32"/>
        <v>7.24</v>
      </c>
      <c r="T59" s="108">
        <f t="shared" si="1"/>
        <v>15.37</v>
      </c>
      <c r="U59" s="23">
        <f t="shared" si="43"/>
        <v>500</v>
      </c>
      <c r="V59" s="113">
        <v>105.09390519999999</v>
      </c>
      <c r="W59" s="110">
        <f t="shared" si="44"/>
        <v>0.42037562080000002</v>
      </c>
      <c r="X59" s="112">
        <f t="shared" si="48"/>
        <v>8.1300000000000008</v>
      </c>
      <c r="Y59" s="112">
        <f t="shared" si="49"/>
        <v>9.76</v>
      </c>
      <c r="Z59" s="163">
        <f t="shared" si="2"/>
        <v>33.69</v>
      </c>
      <c r="AA59" s="121">
        <v>228</v>
      </c>
      <c r="AB59" s="162"/>
    </row>
    <row r="60" spans="1:28" s="3" customFormat="1" ht="16.95" customHeight="1" x14ac:dyDescent="0.3">
      <c r="A60" s="20">
        <v>45804</v>
      </c>
      <c r="B60" s="20" t="s">
        <v>283</v>
      </c>
      <c r="C60" s="71" t="s">
        <v>284</v>
      </c>
      <c r="D60" s="66" t="s">
        <v>285</v>
      </c>
      <c r="E60" s="64">
        <v>2</v>
      </c>
      <c r="F60" s="23">
        <v>500</v>
      </c>
      <c r="G60" s="26">
        <f>357.5/G$1</f>
        <v>446.875</v>
      </c>
      <c r="H60" s="67">
        <f t="shared" si="50"/>
        <v>0</v>
      </c>
      <c r="I60" s="67">
        <f>(37)/I$1</f>
        <v>46.25</v>
      </c>
      <c r="J60" s="67">
        <f>345/J$1</f>
        <v>431.25</v>
      </c>
      <c r="K60" s="80">
        <v>0</v>
      </c>
      <c r="L60" s="96">
        <f>18*1.1*60/2</f>
        <v>594</v>
      </c>
      <c r="M60" s="80">
        <v>60</v>
      </c>
      <c r="N60" s="80">
        <f t="shared" si="0"/>
        <v>1578.375</v>
      </c>
      <c r="O60" s="81">
        <v>34.299999999999997</v>
      </c>
      <c r="P60" s="81">
        <f t="shared" si="31"/>
        <v>15.79</v>
      </c>
      <c r="Q60" s="129">
        <v>336.5</v>
      </c>
      <c r="R60" s="81">
        <v>162.80000000000001</v>
      </c>
      <c r="S60" s="81">
        <f t="shared" si="32"/>
        <v>15.98</v>
      </c>
      <c r="T60" s="108">
        <f t="shared" si="1"/>
        <v>31.77</v>
      </c>
      <c r="U60" s="23">
        <f t="shared" si="43"/>
        <v>500</v>
      </c>
      <c r="V60" s="137">
        <v>658.50076458285696</v>
      </c>
      <c r="W60" s="136">
        <f t="shared" si="44"/>
        <v>2.6340030583314298</v>
      </c>
      <c r="X60" s="136">
        <f t="shared" si="48"/>
        <v>15.79</v>
      </c>
      <c r="Y60" s="136">
        <f t="shared" si="49"/>
        <v>18.95</v>
      </c>
      <c r="Z60" s="163">
        <f t="shared" si="2"/>
        <v>69.150000000000006</v>
      </c>
      <c r="AA60" s="121">
        <v>1397</v>
      </c>
      <c r="AB60" s="162"/>
    </row>
    <row r="61" spans="1:28" s="3" customFormat="1" ht="16.95" customHeight="1" x14ac:dyDescent="0.3">
      <c r="A61" s="20">
        <v>45804</v>
      </c>
      <c r="B61" s="70" t="s">
        <v>286</v>
      </c>
      <c r="C61" s="68" t="s">
        <v>287</v>
      </c>
      <c r="D61" s="66" t="s">
        <v>288</v>
      </c>
      <c r="E61" s="64">
        <v>2</v>
      </c>
      <c r="F61" s="23">
        <v>500</v>
      </c>
      <c r="G61" s="26">
        <f>210/G$1</f>
        <v>262.5</v>
      </c>
      <c r="H61" s="26">
        <f t="shared" si="50"/>
        <v>0</v>
      </c>
      <c r="I61" s="26">
        <f>(48)/I$1</f>
        <v>60</v>
      </c>
      <c r="J61" s="26">
        <f>120/J$1</f>
        <v>150</v>
      </c>
      <c r="K61" s="80">
        <v>0</v>
      </c>
      <c r="L61" s="97">
        <f>13*1.1*60/2</f>
        <v>429</v>
      </c>
      <c r="M61" s="80">
        <v>60</v>
      </c>
      <c r="N61" s="80">
        <f t="shared" si="0"/>
        <v>961.5</v>
      </c>
      <c r="O61" s="81">
        <v>34.299999999999997</v>
      </c>
      <c r="P61" s="81">
        <f t="shared" si="31"/>
        <v>9.6199999999999992</v>
      </c>
      <c r="Q61" s="129">
        <v>232.5</v>
      </c>
      <c r="R61" s="81">
        <v>162.80000000000001</v>
      </c>
      <c r="S61" s="81">
        <f t="shared" si="32"/>
        <v>11.04</v>
      </c>
      <c r="T61" s="108">
        <f t="shared" si="1"/>
        <v>20.66</v>
      </c>
      <c r="U61" s="23">
        <f t="shared" si="43"/>
        <v>500</v>
      </c>
      <c r="V61" s="137">
        <v>205.13314320000001</v>
      </c>
      <c r="W61" s="136">
        <f t="shared" si="44"/>
        <v>0.82053257280000003</v>
      </c>
      <c r="X61" s="136">
        <f t="shared" si="48"/>
        <v>9.6199999999999992</v>
      </c>
      <c r="Y61" s="136">
        <f t="shared" si="49"/>
        <v>11.55</v>
      </c>
      <c r="Z61" s="163">
        <f t="shared" si="2"/>
        <v>42.66</v>
      </c>
      <c r="AA61" s="121">
        <v>501</v>
      </c>
      <c r="AB61" s="162"/>
    </row>
    <row r="62" spans="1:28" s="3" customFormat="1" ht="16.95" customHeight="1" x14ac:dyDescent="0.3">
      <c r="A62" s="20">
        <v>45813</v>
      </c>
      <c r="B62" s="73" t="s">
        <v>289</v>
      </c>
      <c r="C62" s="56" t="s">
        <v>290</v>
      </c>
      <c r="D62" s="29" t="s">
        <v>291</v>
      </c>
      <c r="E62" s="64">
        <v>6</v>
      </c>
      <c r="F62" s="23">
        <v>1000</v>
      </c>
      <c r="G62" s="26">
        <f>95/0.8</f>
        <v>118.75</v>
      </c>
      <c r="H62" s="26">
        <f t="shared" ref="H62:H68" si="51">0/$H$1</f>
        <v>0</v>
      </c>
      <c r="I62" s="26">
        <f>(21.33+90/5)/0.8</f>
        <v>49.162500000000001</v>
      </c>
      <c r="J62" s="26">
        <f>90/0.8</f>
        <v>112.5</v>
      </c>
      <c r="K62" s="80">
        <v>30</v>
      </c>
      <c r="L62" s="101">
        <f>20*60*1.1/2</f>
        <v>660</v>
      </c>
      <c r="M62" s="80">
        <v>90</v>
      </c>
      <c r="N62" s="80">
        <f t="shared" si="0"/>
        <v>1060.4124999999999</v>
      </c>
      <c r="O62" s="81">
        <v>34.299999999999997</v>
      </c>
      <c r="P62" s="81">
        <f t="shared" si="31"/>
        <v>10.61</v>
      </c>
      <c r="Q62" s="129">
        <v>128.833333333333</v>
      </c>
      <c r="R62" s="81">
        <v>162.80000000000001</v>
      </c>
      <c r="S62" s="81">
        <f t="shared" si="32"/>
        <v>6.12</v>
      </c>
      <c r="T62" s="108">
        <f t="shared" si="1"/>
        <v>16.73</v>
      </c>
      <c r="U62" s="23">
        <f t="shared" si="43"/>
        <v>1000</v>
      </c>
      <c r="V62" s="113">
        <v>147.07032544360001</v>
      </c>
      <c r="W62" s="136">
        <f t="shared" ref="W62:W65" si="52">V62*0.002</f>
        <v>0.29414065088719998</v>
      </c>
      <c r="X62" s="136">
        <f t="shared" ref="X62:X65" si="53">ROUNDUP(P62*0.8,2)</f>
        <v>8.49</v>
      </c>
      <c r="Y62" s="136">
        <f t="shared" ref="Y62:Y65" si="54">ROUNDUP(P62*0.9,2)</f>
        <v>9.5500000000000007</v>
      </c>
      <c r="Z62" s="163">
        <f t="shared" si="2"/>
        <v>35.07</v>
      </c>
      <c r="AA62" s="121">
        <v>366</v>
      </c>
    </row>
    <row r="63" spans="1:28" s="3" customFormat="1" ht="16.95" customHeight="1" x14ac:dyDescent="0.3">
      <c r="A63" s="20">
        <v>45813</v>
      </c>
      <c r="B63" s="74" t="s">
        <v>292</v>
      </c>
      <c r="C63" s="56" t="s">
        <v>293</v>
      </c>
      <c r="D63" s="29" t="s">
        <v>294</v>
      </c>
      <c r="E63" s="64">
        <v>2</v>
      </c>
      <c r="F63" s="23">
        <v>500</v>
      </c>
      <c r="G63" s="26">
        <f>188.29/0.8</f>
        <v>235.36250000000001</v>
      </c>
      <c r="H63" s="26">
        <f t="shared" si="51"/>
        <v>0</v>
      </c>
      <c r="I63" s="26">
        <f>(57.5+90/5)/0.8</f>
        <v>94.375</v>
      </c>
      <c r="J63" s="26">
        <f>180/0.8</f>
        <v>225</v>
      </c>
      <c r="K63" s="80">
        <v>40</v>
      </c>
      <c r="L63" s="102">
        <f>20*60*1.1/2</f>
        <v>660</v>
      </c>
      <c r="M63" s="80">
        <v>90</v>
      </c>
      <c r="N63" s="80">
        <f t="shared" si="0"/>
        <v>1344.7375</v>
      </c>
      <c r="O63" s="81">
        <v>34.299999999999997</v>
      </c>
      <c r="P63" s="81">
        <f t="shared" si="31"/>
        <v>13.45</v>
      </c>
      <c r="Q63" s="129">
        <v>250.23684210526301</v>
      </c>
      <c r="R63" s="81">
        <v>162.80000000000001</v>
      </c>
      <c r="S63" s="81">
        <f t="shared" si="32"/>
        <v>11.88</v>
      </c>
      <c r="T63" s="108">
        <f t="shared" si="1"/>
        <v>25.33</v>
      </c>
      <c r="U63" s="23">
        <f t="shared" si="43"/>
        <v>500</v>
      </c>
      <c r="V63" s="113">
        <v>284.13948968948603</v>
      </c>
      <c r="W63" s="140">
        <f t="shared" ref="W63:W70" si="55">V63*0.004</f>
        <v>1.13655795875794</v>
      </c>
      <c r="X63" s="140">
        <f t="shared" ref="X63:X70" si="56">ROUNDUP(P63*1,2)</f>
        <v>13.45</v>
      </c>
      <c r="Y63" s="140">
        <f t="shared" ref="Y63:Y70" si="57">ROUNDUP(P63*1.2,2)</f>
        <v>16.14</v>
      </c>
      <c r="Z63" s="163">
        <f t="shared" si="2"/>
        <v>56.06</v>
      </c>
      <c r="AA63" s="121">
        <v>560</v>
      </c>
    </row>
    <row r="64" spans="1:28" s="3" customFormat="1" ht="16.95" customHeight="1" x14ac:dyDescent="0.3">
      <c r="A64" s="20">
        <v>45813</v>
      </c>
      <c r="B64" s="73" t="s">
        <v>295</v>
      </c>
      <c r="C64" s="56" t="s">
        <v>296</v>
      </c>
      <c r="D64" s="29" t="s">
        <v>297</v>
      </c>
      <c r="E64" s="64">
        <v>2</v>
      </c>
      <c r="F64" s="23">
        <v>1000</v>
      </c>
      <c r="G64" s="26">
        <f>262.5/0.8</f>
        <v>328.125</v>
      </c>
      <c r="H64" s="26">
        <f t="shared" si="51"/>
        <v>0</v>
      </c>
      <c r="I64" s="26">
        <f>(57.5+90/5)/0.8</f>
        <v>94.375</v>
      </c>
      <c r="J64" s="26">
        <f t="shared" ref="J64:J68" si="58">120/0.8</f>
        <v>150</v>
      </c>
      <c r="K64" s="80">
        <v>40</v>
      </c>
      <c r="L64" s="103">
        <f>20*60*1.1/3</f>
        <v>440</v>
      </c>
      <c r="M64" s="80">
        <v>90</v>
      </c>
      <c r="N64" s="80">
        <f t="shared" si="0"/>
        <v>1142.5</v>
      </c>
      <c r="O64" s="81">
        <v>34.299999999999997</v>
      </c>
      <c r="P64" s="81">
        <f t="shared" si="31"/>
        <v>11.43</v>
      </c>
      <c r="Q64" s="129">
        <v>290.5</v>
      </c>
      <c r="R64" s="81">
        <v>162.80000000000001</v>
      </c>
      <c r="S64" s="81">
        <f t="shared" si="32"/>
        <v>13.79</v>
      </c>
      <c r="T64" s="108">
        <f t="shared" si="1"/>
        <v>25.22</v>
      </c>
      <c r="U64" s="23">
        <f t="shared" si="43"/>
        <v>1000</v>
      </c>
      <c r="V64" s="113">
        <v>351.786179371885</v>
      </c>
      <c r="W64" s="136">
        <f t="shared" si="52"/>
        <v>0.70357235874377</v>
      </c>
      <c r="X64" s="136">
        <f t="shared" si="53"/>
        <v>9.15</v>
      </c>
      <c r="Y64" s="136">
        <f t="shared" si="54"/>
        <v>10.29</v>
      </c>
      <c r="Z64" s="163">
        <f t="shared" si="2"/>
        <v>45.37</v>
      </c>
      <c r="AA64" s="121">
        <v>1842</v>
      </c>
    </row>
    <row r="65" spans="1:29" s="3" customFormat="1" ht="16.95" customHeight="1" x14ac:dyDescent="0.3">
      <c r="A65" s="20">
        <v>45813</v>
      </c>
      <c r="B65" s="73" t="s">
        <v>298</v>
      </c>
      <c r="C65" s="56" t="s">
        <v>299</v>
      </c>
      <c r="D65" s="29" t="s">
        <v>300</v>
      </c>
      <c r="E65" s="64">
        <v>4</v>
      </c>
      <c r="F65" s="23">
        <v>1000</v>
      </c>
      <c r="G65" s="26">
        <f>198/0.8</f>
        <v>247.5</v>
      </c>
      <c r="H65" s="26">
        <f t="shared" si="51"/>
        <v>0</v>
      </c>
      <c r="I65" s="26">
        <f>(23+120/5)/0.8</f>
        <v>58.75</v>
      </c>
      <c r="J65" s="26">
        <f>210/0.8</f>
        <v>262.5</v>
      </c>
      <c r="K65" s="80">
        <v>40</v>
      </c>
      <c r="L65" s="103">
        <f>20*60*1.1/3</f>
        <v>440</v>
      </c>
      <c r="M65" s="80">
        <v>90</v>
      </c>
      <c r="N65" s="80">
        <f t="shared" si="0"/>
        <v>1138.75</v>
      </c>
      <c r="O65" s="81">
        <v>34.299999999999997</v>
      </c>
      <c r="P65" s="81">
        <f t="shared" si="31"/>
        <v>11.39</v>
      </c>
      <c r="Q65" s="129">
        <v>202.25</v>
      </c>
      <c r="R65" s="81">
        <v>162.80000000000001</v>
      </c>
      <c r="S65" s="81">
        <f t="shared" si="32"/>
        <v>9.6</v>
      </c>
      <c r="T65" s="108">
        <f t="shared" si="1"/>
        <v>20.99</v>
      </c>
      <c r="U65" s="23">
        <f t="shared" si="43"/>
        <v>1000</v>
      </c>
      <c r="V65" s="113">
        <v>281.144303299733</v>
      </c>
      <c r="W65" s="136">
        <f t="shared" si="52"/>
        <v>0.562288606599466</v>
      </c>
      <c r="X65" s="136">
        <f t="shared" si="53"/>
        <v>9.1199999999999992</v>
      </c>
      <c r="Y65" s="136">
        <f t="shared" si="54"/>
        <v>10.26</v>
      </c>
      <c r="Z65" s="163">
        <f t="shared" si="2"/>
        <v>40.94</v>
      </c>
      <c r="AA65" s="121">
        <v>995</v>
      </c>
    </row>
    <row r="66" spans="1:29" s="3" customFormat="1" ht="16.95" customHeight="1" x14ac:dyDescent="0.3">
      <c r="A66" s="20">
        <v>45813</v>
      </c>
      <c r="B66" s="74" t="s">
        <v>301</v>
      </c>
      <c r="C66" s="56" t="s">
        <v>302</v>
      </c>
      <c r="D66" s="29" t="s">
        <v>297</v>
      </c>
      <c r="E66" s="64">
        <v>2</v>
      </c>
      <c r="F66" s="23">
        <v>500</v>
      </c>
      <c r="G66" s="26">
        <f>397/0.8</f>
        <v>496.25</v>
      </c>
      <c r="H66" s="26">
        <f t="shared" si="51"/>
        <v>0</v>
      </c>
      <c r="I66" s="26">
        <f>(34.5+150/5)/0.8</f>
        <v>80.625</v>
      </c>
      <c r="J66" s="26">
        <f>240/0.8</f>
        <v>300</v>
      </c>
      <c r="K66" s="80">
        <v>40</v>
      </c>
      <c r="L66" s="103">
        <f>44*60*1.1/2</f>
        <v>1452</v>
      </c>
      <c r="M66" s="80">
        <v>90</v>
      </c>
      <c r="N66" s="80">
        <f t="shared" si="0"/>
        <v>2458.875</v>
      </c>
      <c r="O66" s="81">
        <v>34.299999999999997</v>
      </c>
      <c r="P66" s="81">
        <f t="shared" si="31"/>
        <v>24.6</v>
      </c>
      <c r="Q66" s="129">
        <v>347.5</v>
      </c>
      <c r="R66" s="81">
        <v>162.80000000000001</v>
      </c>
      <c r="S66" s="81">
        <f t="shared" si="32"/>
        <v>16.5</v>
      </c>
      <c r="T66" s="108">
        <f t="shared" si="1"/>
        <v>41.1</v>
      </c>
      <c r="U66" s="23">
        <f t="shared" si="43"/>
        <v>500</v>
      </c>
      <c r="V66" s="113">
        <v>610.46964886391902</v>
      </c>
      <c r="W66" s="140">
        <f t="shared" si="55"/>
        <v>2.4418785954556799</v>
      </c>
      <c r="X66" s="140">
        <f t="shared" si="56"/>
        <v>24.6</v>
      </c>
      <c r="Y66" s="140">
        <f t="shared" si="57"/>
        <v>29.52</v>
      </c>
      <c r="Z66" s="163">
        <f t="shared" si="2"/>
        <v>97.67</v>
      </c>
      <c r="AA66" s="121">
        <v>1849</v>
      </c>
    </row>
    <row r="67" spans="1:29" s="3" customFormat="1" ht="16.95" customHeight="1" x14ac:dyDescent="0.3">
      <c r="A67" s="20">
        <v>45813</v>
      </c>
      <c r="B67" s="74" t="s">
        <v>303</v>
      </c>
      <c r="C67" s="56" t="s">
        <v>304</v>
      </c>
      <c r="D67" s="29" t="s">
        <v>305</v>
      </c>
      <c r="E67" s="64">
        <v>2</v>
      </c>
      <c r="F67" s="23">
        <v>500</v>
      </c>
      <c r="G67" s="26">
        <f>327/0.8</f>
        <v>408.75</v>
      </c>
      <c r="H67" s="26">
        <f t="shared" si="51"/>
        <v>0</v>
      </c>
      <c r="I67" s="26">
        <f>(48+120/5)/0.8</f>
        <v>90</v>
      </c>
      <c r="J67" s="26">
        <f t="shared" si="58"/>
        <v>150</v>
      </c>
      <c r="K67" s="80">
        <v>40</v>
      </c>
      <c r="L67" s="102">
        <f>30*60*1.1/2</f>
        <v>990</v>
      </c>
      <c r="M67" s="80">
        <v>90</v>
      </c>
      <c r="N67" s="80">
        <f t="shared" ref="N67:N111" si="59">SUM(G67:M67)</f>
        <v>1768.75</v>
      </c>
      <c r="O67" s="81">
        <v>34.299999999999997</v>
      </c>
      <c r="P67" s="81">
        <f t="shared" si="31"/>
        <v>17.690000000000001</v>
      </c>
      <c r="Q67" s="129">
        <v>311.5</v>
      </c>
      <c r="R67" s="81">
        <v>162.80000000000001</v>
      </c>
      <c r="S67" s="81">
        <f t="shared" si="32"/>
        <v>14.79</v>
      </c>
      <c r="T67" s="108">
        <f t="shared" ref="T67:T111" si="60">SUM(P67,S67)</f>
        <v>32.479999999999997</v>
      </c>
      <c r="U67" s="23">
        <f t="shared" si="43"/>
        <v>500</v>
      </c>
      <c r="V67" s="113">
        <v>577.97816070600004</v>
      </c>
      <c r="W67" s="140">
        <f t="shared" si="55"/>
        <v>2.3119126428240002</v>
      </c>
      <c r="X67" s="140">
        <f t="shared" si="56"/>
        <v>17.690000000000001</v>
      </c>
      <c r="Y67" s="140">
        <f t="shared" si="57"/>
        <v>21.23</v>
      </c>
      <c r="Z67" s="163">
        <f t="shared" ref="Z67:Z111" si="61">ROUNDUP(SUM(T67,W67:Y67),2)</f>
        <v>73.72</v>
      </c>
      <c r="AA67" s="121">
        <v>1072</v>
      </c>
    </row>
    <row r="68" spans="1:29" s="3" customFormat="1" ht="16.95" customHeight="1" x14ac:dyDescent="0.3">
      <c r="A68" s="20">
        <v>45813</v>
      </c>
      <c r="B68" s="74" t="s">
        <v>306</v>
      </c>
      <c r="C68" s="56" t="s">
        <v>307</v>
      </c>
      <c r="D68" s="29" t="s">
        <v>308</v>
      </c>
      <c r="E68" s="64">
        <v>2</v>
      </c>
      <c r="F68" s="23">
        <v>500</v>
      </c>
      <c r="G68" s="26">
        <f>306/0.8</f>
        <v>382.5</v>
      </c>
      <c r="H68" s="26">
        <f t="shared" si="51"/>
        <v>0</v>
      </c>
      <c r="I68" s="26">
        <f>(48+120/5)/0.8</f>
        <v>90</v>
      </c>
      <c r="J68" s="26">
        <f t="shared" si="58"/>
        <v>150</v>
      </c>
      <c r="K68" s="80">
        <v>40</v>
      </c>
      <c r="L68" s="102">
        <f>32*60*1.1/2</f>
        <v>1056</v>
      </c>
      <c r="M68" s="80">
        <v>90</v>
      </c>
      <c r="N68" s="80">
        <f t="shared" si="59"/>
        <v>1808.5</v>
      </c>
      <c r="O68" s="81">
        <v>34.299999999999997</v>
      </c>
      <c r="P68" s="81">
        <f t="shared" si="31"/>
        <v>18.09</v>
      </c>
      <c r="Q68" s="129">
        <v>287</v>
      </c>
      <c r="R68" s="81">
        <v>162.80000000000001</v>
      </c>
      <c r="S68" s="81">
        <f t="shared" si="32"/>
        <v>13.63</v>
      </c>
      <c r="T68" s="108">
        <f t="shared" si="60"/>
        <v>31.72</v>
      </c>
      <c r="U68" s="23">
        <f t="shared" si="43"/>
        <v>500</v>
      </c>
      <c r="V68" s="113">
        <v>518.76876571039998</v>
      </c>
      <c r="W68" s="140">
        <f t="shared" si="55"/>
        <v>2.0750750628415999</v>
      </c>
      <c r="X68" s="140">
        <f t="shared" si="56"/>
        <v>18.09</v>
      </c>
      <c r="Y68" s="140">
        <f t="shared" si="57"/>
        <v>21.71</v>
      </c>
      <c r="Z68" s="163">
        <f t="shared" si="61"/>
        <v>73.599999999999994</v>
      </c>
      <c r="AA68" s="121">
        <v>1842</v>
      </c>
    </row>
    <row r="69" spans="1:29" s="3" customFormat="1" ht="16.95" customHeight="1" x14ac:dyDescent="0.3">
      <c r="A69" s="20">
        <v>45820</v>
      </c>
      <c r="B69" s="74" t="s">
        <v>309</v>
      </c>
      <c r="C69" s="56" t="s">
        <v>310</v>
      </c>
      <c r="D69" s="66" t="s">
        <v>311</v>
      </c>
      <c r="E69" s="64">
        <v>6</v>
      </c>
      <c r="F69" s="23">
        <v>500</v>
      </c>
      <c r="G69" s="26">
        <f>44.67/G$1</f>
        <v>55.837499999999999</v>
      </c>
      <c r="H69" s="67">
        <f>0/$G$1</f>
        <v>0</v>
      </c>
      <c r="I69" s="67">
        <f>(19.5)/I$1</f>
        <v>24.375</v>
      </c>
      <c r="J69" s="67">
        <f>120/J$1</f>
        <v>150</v>
      </c>
      <c r="K69" s="80">
        <v>30</v>
      </c>
      <c r="L69" s="99">
        <f>12*1.1*60/2</f>
        <v>396</v>
      </c>
      <c r="M69" s="80">
        <v>60</v>
      </c>
      <c r="N69" s="80">
        <f t="shared" si="59"/>
        <v>716.21249999999998</v>
      </c>
      <c r="O69" s="81">
        <v>34.299999999999997</v>
      </c>
      <c r="P69" s="81">
        <f t="shared" si="31"/>
        <v>7.17</v>
      </c>
      <c r="Q69" s="129">
        <v>101.333333333333</v>
      </c>
      <c r="R69" s="81">
        <v>162.80000000000001</v>
      </c>
      <c r="S69" s="81">
        <f t="shared" si="32"/>
        <v>4.8099999999999996</v>
      </c>
      <c r="T69" s="108">
        <f t="shared" si="60"/>
        <v>11.98</v>
      </c>
      <c r="U69" s="23">
        <f t="shared" si="43"/>
        <v>500</v>
      </c>
      <c r="V69" s="176">
        <v>100.233484656</v>
      </c>
      <c r="W69" s="136">
        <f t="shared" si="55"/>
        <v>0.40093393862400001</v>
      </c>
      <c r="X69" s="136">
        <f t="shared" si="56"/>
        <v>7.17</v>
      </c>
      <c r="Y69" s="136">
        <f t="shared" si="57"/>
        <v>8.61</v>
      </c>
      <c r="Z69" s="163">
        <f t="shared" si="61"/>
        <v>28.17</v>
      </c>
      <c r="AA69" s="121">
        <v>106</v>
      </c>
      <c r="AB69" s="162"/>
    </row>
    <row r="70" spans="1:29" s="3" customFormat="1" ht="16.95" customHeight="1" x14ac:dyDescent="0.3">
      <c r="A70" s="20">
        <v>45820</v>
      </c>
      <c r="B70" s="74" t="s">
        <v>312</v>
      </c>
      <c r="C70" s="68" t="s">
        <v>313</v>
      </c>
      <c r="D70" s="66" t="s">
        <v>314</v>
      </c>
      <c r="E70" s="64">
        <v>4</v>
      </c>
      <c r="F70" s="23">
        <v>500</v>
      </c>
      <c r="G70" s="26">
        <f>127.5/G$1</f>
        <v>159.375</v>
      </c>
      <c r="H70" s="26">
        <f>0/$G$1</f>
        <v>0</v>
      </c>
      <c r="I70" s="26">
        <f>(33)/I$1</f>
        <v>41.25</v>
      </c>
      <c r="J70" s="26">
        <f>120/J$1</f>
        <v>150</v>
      </c>
      <c r="K70" s="80">
        <v>40</v>
      </c>
      <c r="L70" s="99">
        <f>14*1.1*60/2</f>
        <v>462</v>
      </c>
      <c r="M70" s="80">
        <v>60</v>
      </c>
      <c r="N70" s="80">
        <f t="shared" si="59"/>
        <v>912.625</v>
      </c>
      <c r="O70" s="81">
        <v>34.299999999999997</v>
      </c>
      <c r="P70" s="81">
        <f t="shared" si="31"/>
        <v>9.1300000000000008</v>
      </c>
      <c r="Q70" s="129">
        <v>160</v>
      </c>
      <c r="R70" s="81">
        <v>162.80000000000001</v>
      </c>
      <c r="S70" s="81">
        <f t="shared" si="32"/>
        <v>7.6</v>
      </c>
      <c r="T70" s="108">
        <f t="shared" si="60"/>
        <v>16.73</v>
      </c>
      <c r="U70" s="23">
        <f t="shared" si="43"/>
        <v>500</v>
      </c>
      <c r="V70" s="176">
        <v>138.64764339199999</v>
      </c>
      <c r="W70" s="136">
        <f t="shared" si="55"/>
        <v>0.55459057356800001</v>
      </c>
      <c r="X70" s="136">
        <f t="shared" si="56"/>
        <v>9.1300000000000008</v>
      </c>
      <c r="Y70" s="136">
        <f t="shared" si="57"/>
        <v>10.96</v>
      </c>
      <c r="Z70" s="163">
        <f t="shared" si="61"/>
        <v>37.380000000000003</v>
      </c>
      <c r="AA70" s="121">
        <v>395</v>
      </c>
      <c r="AB70" s="162"/>
    </row>
    <row r="71" spans="1:29" s="3" customFormat="1" ht="16.95" customHeight="1" x14ac:dyDescent="0.3">
      <c r="A71" s="20">
        <v>45822</v>
      </c>
      <c r="B71" s="74" t="s">
        <v>315</v>
      </c>
      <c r="C71" s="56" t="s">
        <v>316</v>
      </c>
      <c r="D71" s="29" t="s">
        <v>317</v>
      </c>
      <c r="E71" s="64">
        <v>6</v>
      </c>
      <c r="F71" s="165">
        <v>4000</v>
      </c>
      <c r="G71" s="26">
        <f>66.666666667/0.8</f>
        <v>83.333333333750005</v>
      </c>
      <c r="H71" s="26">
        <f t="shared" ref="H71:H77" si="62">0/$H$1</f>
        <v>0</v>
      </c>
      <c r="I71" s="26">
        <f>85/0.8</f>
        <v>106.25</v>
      </c>
      <c r="J71" s="26">
        <f>150/0.8</f>
        <v>187.5</v>
      </c>
      <c r="K71" s="80">
        <v>30</v>
      </c>
      <c r="L71" s="103">
        <f>13*60*1.1/2</f>
        <v>429</v>
      </c>
      <c r="M71" s="80">
        <v>30</v>
      </c>
      <c r="N71" s="80">
        <f t="shared" si="59"/>
        <v>866.08333333375003</v>
      </c>
      <c r="O71" s="81">
        <v>34.299999999999997</v>
      </c>
      <c r="P71" s="81">
        <f t="shared" ref="P71:P75" si="63">ROUND((O71*N71/3600)*$P$1,2)</f>
        <v>8.42</v>
      </c>
      <c r="Q71" s="177">
        <v>175</v>
      </c>
      <c r="R71" s="81">
        <v>162.80000000000001</v>
      </c>
      <c r="S71" s="81">
        <f t="shared" ref="S71:S75" si="64">ROUND((R71*Q71/3600)*$S$1,2)</f>
        <v>8.07</v>
      </c>
      <c r="T71" s="108">
        <f t="shared" si="60"/>
        <v>16.489999999999998</v>
      </c>
      <c r="U71" s="23">
        <f t="shared" si="43"/>
        <v>4000</v>
      </c>
      <c r="V71" s="113">
        <v>68.530233199999998</v>
      </c>
      <c r="W71" s="136">
        <f t="shared" ref="W71:W75" si="65">V71*$W$1</f>
        <v>0.1370604664</v>
      </c>
      <c r="X71" s="136">
        <f t="shared" ref="X71:X75" si="66">ROUNDUP(P71*$X$1,2)</f>
        <v>6.74</v>
      </c>
      <c r="Y71" s="136">
        <f t="shared" ref="Y71:Y75" si="67">ROUNDUP(P71*$Y$1,2)</f>
        <v>7.58</v>
      </c>
      <c r="Z71" s="163">
        <f t="shared" si="61"/>
        <v>30.95</v>
      </c>
      <c r="AA71" s="121">
        <v>116</v>
      </c>
      <c r="AB71" s="162"/>
    </row>
    <row r="72" spans="1:29" s="3" customFormat="1" ht="16.95" customHeight="1" x14ac:dyDescent="0.3">
      <c r="A72" s="20">
        <v>45822</v>
      </c>
      <c r="B72" s="74" t="s">
        <v>318</v>
      </c>
      <c r="C72" s="56" t="s">
        <v>319</v>
      </c>
      <c r="D72" s="29" t="s">
        <v>320</v>
      </c>
      <c r="E72" s="64">
        <v>4</v>
      </c>
      <c r="F72" s="165">
        <v>2000</v>
      </c>
      <c r="G72" s="26">
        <f>75/0.8</f>
        <v>93.75</v>
      </c>
      <c r="H72" s="26">
        <f t="shared" si="62"/>
        <v>0</v>
      </c>
      <c r="I72" s="26">
        <f>87.5/0.8</f>
        <v>109.375</v>
      </c>
      <c r="J72" s="26">
        <f t="shared" ref="J72:J77" si="68">90/0.8</f>
        <v>112.5</v>
      </c>
      <c r="K72" s="80">
        <v>30</v>
      </c>
      <c r="L72" s="103">
        <f>16*60*1.1/2</f>
        <v>528</v>
      </c>
      <c r="M72" s="80">
        <v>30</v>
      </c>
      <c r="N72" s="80">
        <f t="shared" si="59"/>
        <v>903.625</v>
      </c>
      <c r="O72" s="81">
        <v>34.299999999999997</v>
      </c>
      <c r="P72" s="81">
        <f t="shared" si="63"/>
        <v>8.7799999999999994</v>
      </c>
      <c r="Q72" s="177">
        <v>181.25</v>
      </c>
      <c r="R72" s="81">
        <v>162.80000000000001</v>
      </c>
      <c r="S72" s="81">
        <f t="shared" si="64"/>
        <v>8.36</v>
      </c>
      <c r="T72" s="108">
        <f t="shared" si="60"/>
        <v>17.14</v>
      </c>
      <c r="U72" s="23">
        <f t="shared" si="43"/>
        <v>2000</v>
      </c>
      <c r="V72" s="113">
        <v>63.196972000000002</v>
      </c>
      <c r="W72" s="136">
        <f t="shared" si="65"/>
        <v>0.12639394400000001</v>
      </c>
      <c r="X72" s="136">
        <f t="shared" si="66"/>
        <v>7.03</v>
      </c>
      <c r="Y72" s="136">
        <f t="shared" si="67"/>
        <v>7.91</v>
      </c>
      <c r="Z72" s="163">
        <f t="shared" si="61"/>
        <v>32.21</v>
      </c>
      <c r="AA72" s="121">
        <v>102</v>
      </c>
      <c r="AB72" s="162"/>
    </row>
    <row r="73" spans="1:29" s="3" customFormat="1" ht="16.95" customHeight="1" x14ac:dyDescent="0.3">
      <c r="A73" s="20">
        <v>45822</v>
      </c>
      <c r="B73" s="74" t="s">
        <v>321</v>
      </c>
      <c r="C73" s="56" t="s">
        <v>322</v>
      </c>
      <c r="D73" s="29" t="s">
        <v>323</v>
      </c>
      <c r="E73" s="64">
        <v>8</v>
      </c>
      <c r="F73" s="165">
        <v>2000</v>
      </c>
      <c r="G73" s="26">
        <f>109/0.8</f>
        <v>136.25</v>
      </c>
      <c r="H73" s="26">
        <f t="shared" si="62"/>
        <v>0</v>
      </c>
      <c r="I73" s="26">
        <f>115/0.8</f>
        <v>143.75</v>
      </c>
      <c r="J73" s="26">
        <f>60/0.8</f>
        <v>75</v>
      </c>
      <c r="K73" s="80">
        <v>20</v>
      </c>
      <c r="L73" s="103">
        <f>8*60*1.1/2</f>
        <v>264</v>
      </c>
      <c r="M73" s="80">
        <v>60</v>
      </c>
      <c r="N73" s="80">
        <f t="shared" si="59"/>
        <v>699</v>
      </c>
      <c r="O73" s="81">
        <v>34.299999999999997</v>
      </c>
      <c r="P73" s="81">
        <f t="shared" si="63"/>
        <v>6.79</v>
      </c>
      <c r="Q73" s="177">
        <v>183.25</v>
      </c>
      <c r="R73" s="81">
        <v>162.80000000000001</v>
      </c>
      <c r="S73" s="81">
        <f t="shared" si="64"/>
        <v>8.4499999999999993</v>
      </c>
      <c r="T73" s="108">
        <f t="shared" si="60"/>
        <v>15.24</v>
      </c>
      <c r="U73" s="23">
        <f t="shared" si="43"/>
        <v>2000</v>
      </c>
      <c r="V73" s="113">
        <v>151.49028960000001</v>
      </c>
      <c r="W73" s="136">
        <f t="shared" si="65"/>
        <v>0.30298057919999999</v>
      </c>
      <c r="X73" s="136">
        <f t="shared" si="66"/>
        <v>5.44</v>
      </c>
      <c r="Y73" s="136">
        <f t="shared" si="67"/>
        <v>6.12</v>
      </c>
      <c r="Z73" s="163">
        <f t="shared" si="61"/>
        <v>27.11</v>
      </c>
      <c r="AA73" s="121">
        <v>349</v>
      </c>
      <c r="AB73" s="162"/>
    </row>
    <row r="74" spans="1:29" s="3" customFormat="1" ht="16.95" customHeight="1" x14ac:dyDescent="0.3">
      <c r="A74" s="20">
        <v>45822</v>
      </c>
      <c r="B74" s="74" t="s">
        <v>324</v>
      </c>
      <c r="C74" s="56" t="s">
        <v>325</v>
      </c>
      <c r="D74" s="29" t="s">
        <v>326</v>
      </c>
      <c r="E74" s="64">
        <v>1</v>
      </c>
      <c r="F74" s="165">
        <v>1000</v>
      </c>
      <c r="G74" s="26">
        <f>471.052631579/0.8</f>
        <v>588.81578947374999</v>
      </c>
      <c r="H74" s="26">
        <f t="shared" si="62"/>
        <v>0</v>
      </c>
      <c r="I74" s="26">
        <f>150/0.8</f>
        <v>187.5</v>
      </c>
      <c r="J74" s="26">
        <f>300/0.8</f>
        <v>375</v>
      </c>
      <c r="K74" s="80">
        <v>60</v>
      </c>
      <c r="L74" s="103">
        <f>19*60*1.1/2</f>
        <v>627</v>
      </c>
      <c r="M74" s="80">
        <v>60</v>
      </c>
      <c r="N74" s="80">
        <f t="shared" si="59"/>
        <v>1898.3157894737501</v>
      </c>
      <c r="O74" s="81">
        <v>34.299999999999997</v>
      </c>
      <c r="P74" s="81">
        <f t="shared" si="63"/>
        <v>18.45</v>
      </c>
      <c r="Q74" s="177">
        <v>602.63157894736798</v>
      </c>
      <c r="R74" s="81">
        <v>162.80000000000001</v>
      </c>
      <c r="S74" s="81">
        <f t="shared" si="64"/>
        <v>27.8</v>
      </c>
      <c r="T74" s="108">
        <f t="shared" si="60"/>
        <v>46.25</v>
      </c>
      <c r="U74" s="23">
        <f t="shared" si="43"/>
        <v>1000</v>
      </c>
      <c r="V74" s="113">
        <v>574.29083600000001</v>
      </c>
      <c r="W74" s="136">
        <f t="shared" si="65"/>
        <v>1.1485816719999999</v>
      </c>
      <c r="X74" s="136">
        <f t="shared" si="66"/>
        <v>14.76</v>
      </c>
      <c r="Y74" s="136">
        <f t="shared" si="67"/>
        <v>16.61</v>
      </c>
      <c r="Z74" s="163">
        <f t="shared" si="61"/>
        <v>78.77</v>
      </c>
      <c r="AA74" s="121">
        <v>1249</v>
      </c>
      <c r="AB74" s="162"/>
    </row>
    <row r="75" spans="1:29" s="3" customFormat="1" ht="16.95" customHeight="1" x14ac:dyDescent="0.3">
      <c r="A75" s="20">
        <v>45822</v>
      </c>
      <c r="B75" s="74" t="s">
        <v>327</v>
      </c>
      <c r="C75" s="56" t="s">
        <v>328</v>
      </c>
      <c r="D75" s="29" t="s">
        <v>329</v>
      </c>
      <c r="E75" s="64">
        <v>6</v>
      </c>
      <c r="F75" s="165">
        <v>2000</v>
      </c>
      <c r="G75" s="26">
        <f>46.666666667/0.8</f>
        <v>58.333333333749998</v>
      </c>
      <c r="H75" s="26">
        <f t="shared" si="62"/>
        <v>0</v>
      </c>
      <c r="I75" s="26">
        <f>145/0.8</f>
        <v>181.25</v>
      </c>
      <c r="J75" s="26">
        <f t="shared" si="68"/>
        <v>112.5</v>
      </c>
      <c r="K75" s="80">
        <v>30</v>
      </c>
      <c r="L75" s="103">
        <f>12*60*1.1/2</f>
        <v>396</v>
      </c>
      <c r="M75" s="80">
        <v>30</v>
      </c>
      <c r="N75" s="80">
        <f t="shared" si="59"/>
        <v>808.08333333375003</v>
      </c>
      <c r="O75" s="81">
        <v>34.299999999999997</v>
      </c>
      <c r="P75" s="81">
        <f t="shared" si="63"/>
        <v>7.85</v>
      </c>
      <c r="Q75" s="177">
        <v>151.666666666667</v>
      </c>
      <c r="R75" s="81">
        <v>162.80000000000001</v>
      </c>
      <c r="S75" s="81">
        <f t="shared" si="64"/>
        <v>7</v>
      </c>
      <c r="T75" s="108">
        <f t="shared" si="60"/>
        <v>14.85</v>
      </c>
      <c r="U75" s="23">
        <f t="shared" si="43"/>
        <v>2000</v>
      </c>
      <c r="V75" s="113">
        <v>130.5480996</v>
      </c>
      <c r="W75" s="136">
        <f t="shared" si="65"/>
        <v>0.26109619919999999</v>
      </c>
      <c r="X75" s="136">
        <f t="shared" si="66"/>
        <v>6.28</v>
      </c>
      <c r="Y75" s="136">
        <f t="shared" si="67"/>
        <v>7.07</v>
      </c>
      <c r="Z75" s="163">
        <f t="shared" si="61"/>
        <v>28.47</v>
      </c>
      <c r="AA75" s="121">
        <v>88</v>
      </c>
      <c r="AB75" s="162"/>
    </row>
    <row r="76" spans="1:29" s="3" customFormat="1" ht="16.95" customHeight="1" x14ac:dyDescent="0.3">
      <c r="A76" s="20">
        <v>45822</v>
      </c>
      <c r="B76" s="74" t="s">
        <v>330</v>
      </c>
      <c r="C76" s="56" t="s">
        <v>331</v>
      </c>
      <c r="D76" s="29" t="s">
        <v>332</v>
      </c>
      <c r="E76" s="64">
        <v>3</v>
      </c>
      <c r="F76" s="165">
        <v>350</v>
      </c>
      <c r="G76" s="26">
        <f>126.666666667/0.8</f>
        <v>158.33333333375001</v>
      </c>
      <c r="H76" s="26">
        <f t="shared" si="62"/>
        <v>0</v>
      </c>
      <c r="I76" s="26">
        <f>90/0.8</f>
        <v>112.5</v>
      </c>
      <c r="J76" s="26">
        <f>225/0.8</f>
        <v>281.25</v>
      </c>
      <c r="K76" s="80">
        <v>40</v>
      </c>
      <c r="L76" s="103">
        <f>15*60*1.1/2</f>
        <v>495</v>
      </c>
      <c r="M76" s="80">
        <v>60</v>
      </c>
      <c r="N76" s="80">
        <f t="shared" si="59"/>
        <v>1147.08333333375</v>
      </c>
      <c r="O76" s="81">
        <v>34.299999999999997</v>
      </c>
      <c r="P76" s="87">
        <f t="shared" ref="P76:P80" si="69">ROUND((O76*N76/3600)*1.05,2)</f>
        <v>11.48</v>
      </c>
      <c r="Q76" s="177">
        <v>251.666666666667</v>
      </c>
      <c r="R76" s="81">
        <v>162.80000000000001</v>
      </c>
      <c r="S76" s="87">
        <f t="shared" ref="S76:S80" si="70">ROUND((R76*Q76/3600)*1.05,2)</f>
        <v>11.95</v>
      </c>
      <c r="T76" s="108">
        <f t="shared" si="60"/>
        <v>23.43</v>
      </c>
      <c r="U76" s="23">
        <f t="shared" si="43"/>
        <v>350</v>
      </c>
      <c r="V76" s="113">
        <v>236.74767113600001</v>
      </c>
      <c r="W76" s="178">
        <f t="shared" ref="W76:W80" si="71">V76*0.004</f>
        <v>0.94699068454400004</v>
      </c>
      <c r="X76" s="140">
        <f t="shared" ref="X76:X80" si="72">ROUNDUP(P76*1.2,2)</f>
        <v>13.78</v>
      </c>
      <c r="Y76" s="140">
        <f t="shared" ref="Y76:Y80" si="73">ROUNDUP(P76*1.5,2)</f>
        <v>17.22</v>
      </c>
      <c r="Z76" s="163">
        <f t="shared" si="61"/>
        <v>55.38</v>
      </c>
      <c r="AA76" s="121">
        <v>423</v>
      </c>
      <c r="AB76" s="162"/>
    </row>
    <row r="77" spans="1:29" s="3" customFormat="1" ht="16.95" customHeight="1" x14ac:dyDescent="0.3">
      <c r="A77" s="20">
        <v>45822</v>
      </c>
      <c r="B77" s="74" t="s">
        <v>333</v>
      </c>
      <c r="C77" s="56" t="s">
        <v>334</v>
      </c>
      <c r="D77" s="29" t="s">
        <v>335</v>
      </c>
      <c r="E77" s="64">
        <v>2</v>
      </c>
      <c r="F77" s="165">
        <v>500</v>
      </c>
      <c r="G77" s="26">
        <f>140/0.8</f>
        <v>175</v>
      </c>
      <c r="H77" s="26">
        <f t="shared" si="62"/>
        <v>0</v>
      </c>
      <c r="I77" s="26">
        <f>120/0.8</f>
        <v>150</v>
      </c>
      <c r="J77" s="26">
        <f t="shared" si="68"/>
        <v>112.5</v>
      </c>
      <c r="K77" s="80">
        <v>30</v>
      </c>
      <c r="L77" s="103">
        <f>14*60*1.1/2</f>
        <v>462</v>
      </c>
      <c r="M77" s="80">
        <v>30</v>
      </c>
      <c r="N77" s="80">
        <f t="shared" si="59"/>
        <v>959.5</v>
      </c>
      <c r="O77" s="81">
        <v>34.299999999999997</v>
      </c>
      <c r="P77" s="87">
        <f t="shared" si="69"/>
        <v>9.6</v>
      </c>
      <c r="Q77" s="177">
        <v>275</v>
      </c>
      <c r="R77" s="81">
        <v>162.80000000000001</v>
      </c>
      <c r="S77" s="87">
        <f t="shared" si="70"/>
        <v>13.06</v>
      </c>
      <c r="T77" s="108">
        <f t="shared" si="60"/>
        <v>22.66</v>
      </c>
      <c r="U77" s="23">
        <f t="shared" si="43"/>
        <v>500</v>
      </c>
      <c r="V77" s="113">
        <v>175.40193352</v>
      </c>
      <c r="W77" s="178">
        <f t="shared" si="71"/>
        <v>0.70160773407999999</v>
      </c>
      <c r="X77" s="140">
        <f>ROUNDUP(P77*1,2)</f>
        <v>9.6</v>
      </c>
      <c r="Y77" s="140">
        <f>ROUNDUP(P77*1.2,2)</f>
        <v>11.52</v>
      </c>
      <c r="Z77" s="163">
        <f t="shared" si="61"/>
        <v>44.49</v>
      </c>
      <c r="AA77" s="121">
        <v>352</v>
      </c>
      <c r="AB77" s="162"/>
    </row>
    <row r="78" spans="1:29" s="4" customFormat="1" ht="16.95" customHeight="1" x14ac:dyDescent="0.3">
      <c r="A78" s="20">
        <v>45826</v>
      </c>
      <c r="B78" s="74" t="s">
        <v>336</v>
      </c>
      <c r="C78" s="56" t="s">
        <v>337</v>
      </c>
      <c r="D78" s="66" t="s">
        <v>338</v>
      </c>
      <c r="E78" s="64">
        <v>1</v>
      </c>
      <c r="F78" s="23">
        <v>200</v>
      </c>
      <c r="G78" s="26">
        <f>354/G$1</f>
        <v>442.5</v>
      </c>
      <c r="H78" s="67">
        <f t="shared" ref="H78:H85" si="74">0/$G$1</f>
        <v>0</v>
      </c>
      <c r="I78" s="67">
        <f>(57+115)/I$1</f>
        <v>215</v>
      </c>
      <c r="J78" s="67">
        <f>300/J$1</f>
        <v>375</v>
      </c>
      <c r="K78" s="80">
        <v>0</v>
      </c>
      <c r="L78" s="99">
        <f>13*1.1*60/2</f>
        <v>429</v>
      </c>
      <c r="M78" s="80">
        <v>60</v>
      </c>
      <c r="N78" s="80">
        <f t="shared" si="59"/>
        <v>1521.5</v>
      </c>
      <c r="O78" s="81">
        <v>34.299999999999997</v>
      </c>
      <c r="P78" s="87">
        <f t="shared" si="69"/>
        <v>15.22</v>
      </c>
      <c r="Q78" s="179">
        <v>582</v>
      </c>
      <c r="R78" s="81">
        <v>162.80000000000001</v>
      </c>
      <c r="S78" s="87">
        <f t="shared" si="70"/>
        <v>27.64</v>
      </c>
      <c r="T78" s="108">
        <f t="shared" si="60"/>
        <v>42.86</v>
      </c>
      <c r="U78" s="23">
        <f t="shared" si="43"/>
        <v>200</v>
      </c>
      <c r="V78" s="180">
        <v>696.22721160000003</v>
      </c>
      <c r="W78" s="178">
        <f t="shared" si="71"/>
        <v>2.7849088464</v>
      </c>
      <c r="X78" s="140">
        <f t="shared" si="72"/>
        <v>18.27</v>
      </c>
      <c r="Y78" s="140">
        <f t="shared" si="73"/>
        <v>22.83</v>
      </c>
      <c r="Z78" s="163">
        <f t="shared" si="61"/>
        <v>86.75</v>
      </c>
      <c r="AA78" s="121">
        <v>1309</v>
      </c>
      <c r="AB78" s="162"/>
      <c r="AC78" s="3"/>
    </row>
    <row r="79" spans="1:29" s="4" customFormat="1" ht="16.95" customHeight="1" x14ac:dyDescent="0.3">
      <c r="A79" s="20">
        <v>45826</v>
      </c>
      <c r="B79" s="74" t="s">
        <v>339</v>
      </c>
      <c r="C79" s="68" t="s">
        <v>340</v>
      </c>
      <c r="D79" s="66" t="s">
        <v>341</v>
      </c>
      <c r="E79" s="64">
        <v>1</v>
      </c>
      <c r="F79" s="23">
        <v>400</v>
      </c>
      <c r="G79" s="26">
        <f>455/G$1</f>
        <v>568.75</v>
      </c>
      <c r="H79" s="26">
        <f t="shared" si="74"/>
        <v>0</v>
      </c>
      <c r="I79" s="26">
        <f>(0)/I$1</f>
        <v>0</v>
      </c>
      <c r="J79" s="26">
        <f>300/J$1</f>
        <v>375</v>
      </c>
      <c r="K79" s="80">
        <v>0</v>
      </c>
      <c r="L79" s="99">
        <f>11*1.1*60/2</f>
        <v>363</v>
      </c>
      <c r="M79" s="80">
        <v>60</v>
      </c>
      <c r="N79" s="80">
        <f t="shared" si="59"/>
        <v>1366.75</v>
      </c>
      <c r="O79" s="81">
        <v>34.299999999999997</v>
      </c>
      <c r="P79" s="87">
        <f t="shared" si="69"/>
        <v>13.67</v>
      </c>
      <c r="Q79" s="179">
        <v>630</v>
      </c>
      <c r="R79" s="81">
        <v>162.80000000000001</v>
      </c>
      <c r="S79" s="87">
        <f t="shared" si="70"/>
        <v>29.91</v>
      </c>
      <c r="T79" s="108">
        <f t="shared" si="60"/>
        <v>43.58</v>
      </c>
      <c r="U79" s="23">
        <f t="shared" si="43"/>
        <v>400</v>
      </c>
      <c r="V79" s="180">
        <v>929.340430391111</v>
      </c>
      <c r="W79" s="178">
        <f t="shared" si="71"/>
        <v>3.7173617215644401</v>
      </c>
      <c r="X79" s="140">
        <f t="shared" si="72"/>
        <v>16.41</v>
      </c>
      <c r="Y79" s="140">
        <f t="shared" si="73"/>
        <v>20.51</v>
      </c>
      <c r="Z79" s="163">
        <f t="shared" si="61"/>
        <v>84.22</v>
      </c>
      <c r="AA79" s="121">
        <v>1398</v>
      </c>
      <c r="AB79" s="162"/>
      <c r="AC79" s="3"/>
    </row>
    <row r="80" spans="1:29" s="3" customFormat="1" ht="16.95" customHeight="1" x14ac:dyDescent="0.3">
      <c r="A80" s="20">
        <v>45849</v>
      </c>
      <c r="B80" s="74" t="s">
        <v>342</v>
      </c>
      <c r="C80" s="56" t="s">
        <v>343</v>
      </c>
      <c r="D80" s="29" t="s">
        <v>344</v>
      </c>
      <c r="E80" s="64">
        <v>3</v>
      </c>
      <c r="F80" s="165">
        <v>200</v>
      </c>
      <c r="G80" s="26">
        <f>143.3/0.8</f>
        <v>179.125</v>
      </c>
      <c r="H80" s="26">
        <f>0/$H$1</f>
        <v>0</v>
      </c>
      <c r="I80" s="26">
        <f>(30+60)/0.8</f>
        <v>112.5</v>
      </c>
      <c r="J80" s="26">
        <f>180/0.8</f>
        <v>225</v>
      </c>
      <c r="K80" s="80">
        <v>40</v>
      </c>
      <c r="L80" s="103">
        <f>13*60*1.1/2</f>
        <v>429</v>
      </c>
      <c r="M80" s="80">
        <v>30</v>
      </c>
      <c r="N80" s="80">
        <f t="shared" si="59"/>
        <v>1015.625</v>
      </c>
      <c r="O80" s="81">
        <v>34.299999999999997</v>
      </c>
      <c r="P80" s="87">
        <f t="shared" si="69"/>
        <v>10.16</v>
      </c>
      <c r="Q80" s="177">
        <v>248</v>
      </c>
      <c r="R80" s="81">
        <v>162.80000000000001</v>
      </c>
      <c r="S80" s="87">
        <f t="shared" si="70"/>
        <v>11.78</v>
      </c>
      <c r="T80" s="108">
        <f t="shared" si="60"/>
        <v>21.94</v>
      </c>
      <c r="U80" s="23">
        <f t="shared" si="43"/>
        <v>200</v>
      </c>
      <c r="V80" s="113">
        <v>309.13583835999998</v>
      </c>
      <c r="W80" s="136">
        <f t="shared" si="71"/>
        <v>1.2365433534400001</v>
      </c>
      <c r="X80" s="140">
        <f t="shared" si="72"/>
        <v>12.2</v>
      </c>
      <c r="Y80" s="140">
        <f t="shared" si="73"/>
        <v>15.24</v>
      </c>
      <c r="Z80" s="163">
        <f t="shared" si="61"/>
        <v>50.62</v>
      </c>
      <c r="AA80" s="121">
        <v>624</v>
      </c>
      <c r="AB80" s="185"/>
      <c r="AC80" s="186"/>
    </row>
    <row r="81" spans="1:28" s="3" customFormat="1" ht="16.95" customHeight="1" x14ac:dyDescent="0.3">
      <c r="A81" s="20">
        <v>45856</v>
      </c>
      <c r="B81" s="166" t="s">
        <v>345</v>
      </c>
      <c r="C81" s="167" t="s">
        <v>346</v>
      </c>
      <c r="D81" s="74" t="s">
        <v>279</v>
      </c>
      <c r="E81" s="28">
        <v>2</v>
      </c>
      <c r="F81" s="166">
        <v>3000</v>
      </c>
      <c r="G81" s="26">
        <f>242/G$1</f>
        <v>302.5</v>
      </c>
      <c r="H81" s="26">
        <f>280/0.95</f>
        <v>294.73684210526301</v>
      </c>
      <c r="I81" s="26">
        <f>(0+33)/I$1</f>
        <v>41.25</v>
      </c>
      <c r="J81" s="26">
        <f>270/J$1</f>
        <v>337.5</v>
      </c>
      <c r="K81" s="80">
        <v>0</v>
      </c>
      <c r="L81" s="80">
        <f>13*1.1*60/2</f>
        <v>429</v>
      </c>
      <c r="M81" s="80">
        <v>90</v>
      </c>
      <c r="N81" s="80">
        <f t="shared" si="59"/>
        <v>1494.9868421052599</v>
      </c>
      <c r="O81" s="81">
        <v>34.299999999999997</v>
      </c>
      <c r="P81" s="81">
        <f>ROUND((O81*N81/3600)*1.02,2)</f>
        <v>14.53</v>
      </c>
      <c r="Q81" s="177">
        <v>248</v>
      </c>
      <c r="R81" s="81">
        <v>162.80000000000001</v>
      </c>
      <c r="S81" s="81">
        <f>ROUND((R81*Q81/3600)*1.02,2)</f>
        <v>11.44</v>
      </c>
      <c r="T81" s="108">
        <f t="shared" si="60"/>
        <v>25.97</v>
      </c>
      <c r="U81" s="23">
        <f t="shared" si="43"/>
        <v>3000</v>
      </c>
      <c r="V81" s="181">
        <v>385.92338167999998</v>
      </c>
      <c r="W81" s="110">
        <f>V81*0.002</f>
        <v>0.77184676336000002</v>
      </c>
      <c r="X81" s="112">
        <f>ROUNDUP(P81*0.8,2)</f>
        <v>11.63</v>
      </c>
      <c r="Y81" s="112">
        <f>ROUNDUP(P81*0.9,2)</f>
        <v>13.08</v>
      </c>
      <c r="Z81" s="163">
        <f t="shared" si="61"/>
        <v>51.46</v>
      </c>
      <c r="AA81" s="113">
        <v>1109</v>
      </c>
      <c r="AB81" s="162"/>
    </row>
    <row r="82" spans="1:28" s="3" customFormat="1" ht="16.95" customHeight="1" x14ac:dyDescent="0.3">
      <c r="A82" s="20">
        <v>45866</v>
      </c>
      <c r="B82" s="166" t="s">
        <v>347</v>
      </c>
      <c r="C82" s="56" t="s">
        <v>348</v>
      </c>
      <c r="D82" s="29" t="s">
        <v>349</v>
      </c>
      <c r="E82" s="64">
        <v>2</v>
      </c>
      <c r="F82" s="165">
        <v>1500</v>
      </c>
      <c r="G82" s="26">
        <f>222.5/0.8</f>
        <v>278.125</v>
      </c>
      <c r="H82" s="26">
        <f t="shared" si="74"/>
        <v>0</v>
      </c>
      <c r="I82" s="26">
        <f>(53.75+120)/0.8</f>
        <v>217.1875</v>
      </c>
      <c r="J82" s="26">
        <f>180/0.8</f>
        <v>225</v>
      </c>
      <c r="K82" s="80">
        <v>40</v>
      </c>
      <c r="L82" s="103">
        <f>15*60*1.1/2</f>
        <v>495</v>
      </c>
      <c r="M82" s="80">
        <v>90</v>
      </c>
      <c r="N82" s="80">
        <f t="shared" si="59"/>
        <v>1345.3125</v>
      </c>
      <c r="O82" s="81">
        <v>34.299999999999997</v>
      </c>
      <c r="P82" s="81">
        <f>ROUND((O82*N82/3600)*$P$1,2)</f>
        <v>13.07</v>
      </c>
      <c r="Q82" s="177">
        <v>395</v>
      </c>
      <c r="R82" s="81">
        <v>162.80000000000001</v>
      </c>
      <c r="S82" s="81">
        <f>ROUND((R82*Q82/3600)*$S$1,2)</f>
        <v>18.22</v>
      </c>
      <c r="T82" s="108">
        <f t="shared" si="60"/>
        <v>31.29</v>
      </c>
      <c r="U82" s="23">
        <f t="shared" si="43"/>
        <v>1500</v>
      </c>
      <c r="V82" s="113">
        <v>446.30651255200002</v>
      </c>
      <c r="W82" s="136">
        <f>V82*$W$1</f>
        <v>0.89261302510399998</v>
      </c>
      <c r="X82" s="136">
        <f>ROUNDUP(P82*$X$1,2)</f>
        <v>10.46</v>
      </c>
      <c r="Y82" s="136">
        <f>ROUNDUP(P82*$Y$1,2)</f>
        <v>11.77</v>
      </c>
      <c r="Z82" s="163">
        <f t="shared" si="61"/>
        <v>54.42</v>
      </c>
      <c r="AA82" s="113">
        <v>745</v>
      </c>
      <c r="AB82" s="162"/>
    </row>
    <row r="83" spans="1:28" s="3" customFormat="1" ht="16.95" customHeight="1" x14ac:dyDescent="0.3">
      <c r="A83" s="20">
        <v>45866</v>
      </c>
      <c r="B83" s="166" t="s">
        <v>350</v>
      </c>
      <c r="C83" s="56" t="s">
        <v>351</v>
      </c>
      <c r="D83" s="29" t="s">
        <v>352</v>
      </c>
      <c r="E83" s="64">
        <v>4</v>
      </c>
      <c r="F83" s="165">
        <v>1500</v>
      </c>
      <c r="G83" s="26">
        <f>125.39/0.8</f>
        <v>156.73750000000001</v>
      </c>
      <c r="H83" s="26">
        <f t="shared" si="74"/>
        <v>0</v>
      </c>
      <c r="I83" s="26">
        <f>(48.75+90)/0.8</f>
        <v>173.4375</v>
      </c>
      <c r="J83" s="26">
        <f>120/0.8</f>
        <v>150</v>
      </c>
      <c r="K83" s="80">
        <v>30</v>
      </c>
      <c r="L83" s="103">
        <f>11*60*1.1/3</f>
        <v>242</v>
      </c>
      <c r="M83" s="80">
        <v>90</v>
      </c>
      <c r="N83" s="80">
        <f t="shared" si="59"/>
        <v>842.17499999999995</v>
      </c>
      <c r="O83" s="81">
        <v>34.299999999999997</v>
      </c>
      <c r="P83" s="81">
        <f>ROUND((O83*N83/3600)*$P$1,2)</f>
        <v>8.18</v>
      </c>
      <c r="Q83" s="177">
        <v>255.92105263157899</v>
      </c>
      <c r="R83" s="81">
        <v>162.80000000000001</v>
      </c>
      <c r="S83" s="81">
        <f>ROUND((R83*Q83/3600)*$S$1,2)</f>
        <v>11.8</v>
      </c>
      <c r="T83" s="108">
        <f t="shared" si="60"/>
        <v>19.98</v>
      </c>
      <c r="U83" s="23">
        <f t="shared" si="43"/>
        <v>1500</v>
      </c>
      <c r="V83" s="113">
        <v>169.84806879999999</v>
      </c>
      <c r="W83" s="136">
        <f>V83*$W$1</f>
        <v>0.3396961376</v>
      </c>
      <c r="X83" s="136">
        <f>ROUNDUP(P83*$X$1,2)</f>
        <v>6.55</v>
      </c>
      <c r="Y83" s="136">
        <f>ROUNDUP(P83*$Y$1,2)</f>
        <v>7.37</v>
      </c>
      <c r="Z83" s="163">
        <f t="shared" si="61"/>
        <v>34.24</v>
      </c>
      <c r="AA83" s="113">
        <v>506</v>
      </c>
      <c r="AB83" s="162"/>
    </row>
    <row r="84" spans="1:28" s="3" customFormat="1" ht="16.95" customHeight="1" x14ac:dyDescent="0.3">
      <c r="A84" s="20">
        <v>45880</v>
      </c>
      <c r="B84" s="70" t="s">
        <v>353</v>
      </c>
      <c r="C84" s="168" t="s">
        <v>354</v>
      </c>
      <c r="D84" s="66" t="s">
        <v>355</v>
      </c>
      <c r="E84" s="64">
        <v>2</v>
      </c>
      <c r="F84" s="23">
        <v>500</v>
      </c>
      <c r="G84" s="26">
        <f>(272.5+55)/G$1</f>
        <v>409.375</v>
      </c>
      <c r="H84" s="67">
        <f t="shared" si="74"/>
        <v>0</v>
      </c>
      <c r="I84" s="67">
        <f>(47)/I$1</f>
        <v>58.75</v>
      </c>
      <c r="J84" s="67">
        <f>300/J$1</f>
        <v>375</v>
      </c>
      <c r="K84" s="80">
        <v>40</v>
      </c>
      <c r="L84" s="99">
        <f>11*1.1*60/2</f>
        <v>363</v>
      </c>
      <c r="M84" s="80">
        <v>60</v>
      </c>
      <c r="N84" s="80">
        <f t="shared" si="59"/>
        <v>1306.125</v>
      </c>
      <c r="O84" s="81">
        <v>34.299999999999997</v>
      </c>
      <c r="P84" s="81">
        <f t="shared" ref="P84:P102" si="75">ROUND((O84*N84/3600)*1.05,2)</f>
        <v>13.07</v>
      </c>
      <c r="Q84" s="179">
        <v>288.5</v>
      </c>
      <c r="R84" s="81">
        <v>162.80000000000001</v>
      </c>
      <c r="S84" s="81">
        <f t="shared" ref="S84:S102" si="76">ROUND((R84*Q84/3600)*1.05,2)</f>
        <v>13.7</v>
      </c>
      <c r="T84" s="108">
        <f t="shared" si="60"/>
        <v>26.77</v>
      </c>
      <c r="U84" s="23">
        <f t="shared" si="43"/>
        <v>500</v>
      </c>
      <c r="V84" s="137">
        <v>461.03351767999999</v>
      </c>
      <c r="W84" s="136">
        <f t="shared" ref="W84:W102" si="77">V84*0.004</f>
        <v>1.84413407072</v>
      </c>
      <c r="X84" s="136">
        <f t="shared" ref="X84:X96" si="78">ROUNDUP(P84*1,2)</f>
        <v>13.07</v>
      </c>
      <c r="Y84" s="136">
        <f t="shared" ref="Y84:Y96" si="79">ROUNDUP(P84*1.2,2)</f>
        <v>15.69</v>
      </c>
      <c r="Z84" s="163">
        <f t="shared" si="61"/>
        <v>57.38</v>
      </c>
      <c r="AA84" s="121">
        <v>922</v>
      </c>
      <c r="AB84" s="162"/>
    </row>
    <row r="85" spans="1:28" s="3" customFormat="1" ht="16.95" customHeight="1" x14ac:dyDescent="0.3">
      <c r="A85" s="20">
        <v>45880</v>
      </c>
      <c r="B85" s="70" t="s">
        <v>356</v>
      </c>
      <c r="C85" s="168" t="s">
        <v>357</v>
      </c>
      <c r="D85" s="66" t="s">
        <v>358</v>
      </c>
      <c r="E85" s="64">
        <v>2</v>
      </c>
      <c r="F85" s="23">
        <v>500</v>
      </c>
      <c r="G85" s="26">
        <f>(275)/G$1</f>
        <v>343.75</v>
      </c>
      <c r="H85" s="67">
        <f t="shared" si="74"/>
        <v>0</v>
      </c>
      <c r="I85" s="67">
        <f>(42+60)/I$1</f>
        <v>127.5</v>
      </c>
      <c r="J85" s="67">
        <f>440/J$1</f>
        <v>550</v>
      </c>
      <c r="K85" s="80">
        <v>60</v>
      </c>
      <c r="L85" s="99">
        <f>16*1.1*60/2</f>
        <v>528</v>
      </c>
      <c r="M85" s="80">
        <v>60</v>
      </c>
      <c r="N85" s="80">
        <f t="shared" si="59"/>
        <v>1669.25</v>
      </c>
      <c r="O85" s="81">
        <v>34.299999999999997</v>
      </c>
      <c r="P85" s="81">
        <f t="shared" si="75"/>
        <v>16.7</v>
      </c>
      <c r="Q85" s="179">
        <v>340</v>
      </c>
      <c r="R85" s="81">
        <v>162.80000000000001</v>
      </c>
      <c r="S85" s="81">
        <f t="shared" si="76"/>
        <v>16.14</v>
      </c>
      <c r="T85" s="108">
        <f t="shared" si="60"/>
        <v>32.840000000000003</v>
      </c>
      <c r="U85" s="23">
        <f t="shared" si="43"/>
        <v>500</v>
      </c>
      <c r="V85" s="137">
        <v>480.12814023495201</v>
      </c>
      <c r="W85" s="136">
        <f t="shared" si="77"/>
        <v>1.9205125609398099</v>
      </c>
      <c r="X85" s="136">
        <f t="shared" si="78"/>
        <v>16.7</v>
      </c>
      <c r="Y85" s="136">
        <f t="shared" si="79"/>
        <v>20.04</v>
      </c>
      <c r="Z85" s="163">
        <f t="shared" si="61"/>
        <v>71.510000000000005</v>
      </c>
      <c r="AA85" s="121">
        <v>1005</v>
      </c>
      <c r="AB85" s="162"/>
    </row>
    <row r="86" spans="1:28" s="3" customFormat="1" ht="16.95" customHeight="1" x14ac:dyDescent="0.3">
      <c r="A86" s="20">
        <v>45880</v>
      </c>
      <c r="B86" s="70" t="s">
        <v>359</v>
      </c>
      <c r="C86" s="168" t="s">
        <v>360</v>
      </c>
      <c r="D86" s="66" t="s">
        <v>361</v>
      </c>
      <c r="E86" s="64">
        <v>4</v>
      </c>
      <c r="F86" s="23">
        <v>500</v>
      </c>
      <c r="G86" s="26">
        <f>(130.26)/G$1</f>
        <v>162.82499999999999</v>
      </c>
      <c r="H86" s="67">
        <f>160.71/0.95</f>
        <v>169.168421052632</v>
      </c>
      <c r="I86" s="67">
        <f>(43.5)/I$1</f>
        <v>54.375</v>
      </c>
      <c r="J86" s="67">
        <f t="shared" ref="J86:J89" si="80">90/J$1</f>
        <v>112.5</v>
      </c>
      <c r="K86" s="80">
        <v>30</v>
      </c>
      <c r="L86" s="99">
        <f>9*1.1*60/2</f>
        <v>297</v>
      </c>
      <c r="M86" s="80">
        <v>60</v>
      </c>
      <c r="N86" s="80">
        <f t="shared" si="59"/>
        <v>885.86842105263202</v>
      </c>
      <c r="O86" s="81">
        <v>34.299999999999997</v>
      </c>
      <c r="P86" s="81">
        <f t="shared" si="75"/>
        <v>8.86</v>
      </c>
      <c r="Q86" s="179">
        <v>169.22932330827101</v>
      </c>
      <c r="R86" s="81">
        <v>162.80000000000001</v>
      </c>
      <c r="S86" s="81">
        <f t="shared" si="76"/>
        <v>8.0399999999999991</v>
      </c>
      <c r="T86" s="108">
        <f t="shared" si="60"/>
        <v>16.899999999999999</v>
      </c>
      <c r="U86" s="23">
        <f t="shared" si="43"/>
        <v>500</v>
      </c>
      <c r="V86" s="137">
        <v>164.30709646</v>
      </c>
      <c r="W86" s="136">
        <f t="shared" si="77"/>
        <v>0.65722838583999998</v>
      </c>
      <c r="X86" s="136">
        <f t="shared" si="78"/>
        <v>8.86</v>
      </c>
      <c r="Y86" s="136">
        <f t="shared" si="79"/>
        <v>10.64</v>
      </c>
      <c r="Z86" s="163">
        <f t="shared" si="61"/>
        <v>37.06</v>
      </c>
      <c r="AA86" s="121">
        <v>416</v>
      </c>
      <c r="AB86" s="162"/>
    </row>
    <row r="87" spans="1:28" s="3" customFormat="1" ht="16.95" customHeight="1" x14ac:dyDescent="0.3">
      <c r="A87" s="20">
        <v>45880</v>
      </c>
      <c r="B87" s="70" t="s">
        <v>362</v>
      </c>
      <c r="C87" s="168" t="s">
        <v>363</v>
      </c>
      <c r="D87" s="66" t="s">
        <v>364</v>
      </c>
      <c r="E87" s="64">
        <v>2</v>
      </c>
      <c r="F87" s="23">
        <v>500</v>
      </c>
      <c r="G87" s="26">
        <f>(237+0)/G$1</f>
        <v>296.25</v>
      </c>
      <c r="H87" s="67">
        <f t="shared" ref="H87:H94" si="81">0/$G$1</f>
        <v>0</v>
      </c>
      <c r="I87" s="67">
        <f>(30)/I$1</f>
        <v>37.5</v>
      </c>
      <c r="J87" s="67">
        <f t="shared" si="80"/>
        <v>112.5</v>
      </c>
      <c r="K87" s="80">
        <v>30</v>
      </c>
      <c r="L87" s="99">
        <f>9*1.1*60/2</f>
        <v>297</v>
      </c>
      <c r="M87" s="80">
        <v>60</v>
      </c>
      <c r="N87" s="80">
        <f t="shared" si="59"/>
        <v>833.25</v>
      </c>
      <c r="O87" s="81">
        <v>34.299999999999997</v>
      </c>
      <c r="P87" s="81">
        <f t="shared" si="75"/>
        <v>8.34</v>
      </c>
      <c r="Q87" s="179">
        <v>236.5</v>
      </c>
      <c r="R87" s="81">
        <v>162.80000000000001</v>
      </c>
      <c r="S87" s="81">
        <f t="shared" si="76"/>
        <v>11.23</v>
      </c>
      <c r="T87" s="108">
        <f t="shared" si="60"/>
        <v>19.57</v>
      </c>
      <c r="U87" s="23">
        <f t="shared" si="43"/>
        <v>500</v>
      </c>
      <c r="V87" s="137">
        <v>247.23522458400001</v>
      </c>
      <c r="W87" s="136">
        <f t="shared" si="77"/>
        <v>0.98894089833599996</v>
      </c>
      <c r="X87" s="136">
        <f t="shared" si="78"/>
        <v>8.34</v>
      </c>
      <c r="Y87" s="136">
        <f t="shared" si="79"/>
        <v>10.01</v>
      </c>
      <c r="Z87" s="163">
        <f t="shared" si="61"/>
        <v>38.909999999999997</v>
      </c>
      <c r="AA87" s="121">
        <v>589</v>
      </c>
      <c r="AB87" s="162"/>
    </row>
    <row r="88" spans="1:28" s="3" customFormat="1" ht="16.95" customHeight="1" x14ac:dyDescent="0.3">
      <c r="A88" s="20">
        <v>45880</v>
      </c>
      <c r="B88" s="70" t="s">
        <v>365</v>
      </c>
      <c r="C88" s="168" t="s">
        <v>366</v>
      </c>
      <c r="D88" s="66" t="s">
        <v>367</v>
      </c>
      <c r="E88" s="64">
        <v>2</v>
      </c>
      <c r="F88" s="23">
        <v>500</v>
      </c>
      <c r="G88" s="26">
        <f>(184)/G$1</f>
        <v>230</v>
      </c>
      <c r="H88" s="67">
        <f>210/0.95</f>
        <v>221.052631578947</v>
      </c>
      <c r="I88" s="67">
        <f>(45)/I$1</f>
        <v>56.25</v>
      </c>
      <c r="J88" s="67">
        <f t="shared" ref="J88:J93" si="82">120/J$1</f>
        <v>150</v>
      </c>
      <c r="K88" s="80">
        <v>40</v>
      </c>
      <c r="L88" s="99">
        <f t="shared" ref="L88:L92" si="83">8*1.1*60/2</f>
        <v>264</v>
      </c>
      <c r="M88" s="80">
        <v>60</v>
      </c>
      <c r="N88" s="80">
        <f t="shared" si="59"/>
        <v>1021.30263157895</v>
      </c>
      <c r="O88" s="81">
        <v>34.299999999999997</v>
      </c>
      <c r="P88" s="81">
        <f t="shared" si="75"/>
        <v>10.220000000000001</v>
      </c>
      <c r="Q88" s="179">
        <v>271.25</v>
      </c>
      <c r="R88" s="81">
        <v>162.80000000000001</v>
      </c>
      <c r="S88" s="81">
        <f t="shared" si="76"/>
        <v>12.88</v>
      </c>
      <c r="T88" s="108">
        <f t="shared" si="60"/>
        <v>23.1</v>
      </c>
      <c r="U88" s="23">
        <f t="shared" si="43"/>
        <v>500</v>
      </c>
      <c r="V88" s="137">
        <v>573.44238626000003</v>
      </c>
      <c r="W88" s="136">
        <f t="shared" si="77"/>
        <v>2.29376954504</v>
      </c>
      <c r="X88" s="136">
        <f t="shared" si="78"/>
        <v>10.220000000000001</v>
      </c>
      <c r="Y88" s="136">
        <f t="shared" si="79"/>
        <v>12.27</v>
      </c>
      <c r="Z88" s="163">
        <f t="shared" si="61"/>
        <v>47.89</v>
      </c>
      <c r="AA88" s="121">
        <v>337</v>
      </c>
      <c r="AB88" s="162"/>
    </row>
    <row r="89" spans="1:28" s="3" customFormat="1" ht="16.95" customHeight="1" x14ac:dyDescent="0.3">
      <c r="A89" s="20">
        <v>45880</v>
      </c>
      <c r="B89" s="70" t="s">
        <v>368</v>
      </c>
      <c r="C89" s="168" t="s">
        <v>369</v>
      </c>
      <c r="D89" s="66" t="s">
        <v>370</v>
      </c>
      <c r="E89" s="64">
        <v>2</v>
      </c>
      <c r="F89" s="23">
        <v>500</v>
      </c>
      <c r="G89" s="26">
        <f>(70+35)/G$1</f>
        <v>131.25</v>
      </c>
      <c r="H89" s="67">
        <f t="shared" si="81"/>
        <v>0</v>
      </c>
      <c r="I89" s="67">
        <f>(33)/I$1</f>
        <v>41.25</v>
      </c>
      <c r="J89" s="67">
        <f t="shared" si="80"/>
        <v>112.5</v>
      </c>
      <c r="K89" s="80">
        <v>30</v>
      </c>
      <c r="L89" s="99">
        <f t="shared" si="83"/>
        <v>264</v>
      </c>
      <c r="M89" s="80">
        <v>60</v>
      </c>
      <c r="N89" s="80">
        <f t="shared" si="59"/>
        <v>639</v>
      </c>
      <c r="O89" s="81">
        <v>34.299999999999997</v>
      </c>
      <c r="P89" s="81">
        <f t="shared" si="75"/>
        <v>6.39</v>
      </c>
      <c r="Q89" s="179">
        <v>132.5</v>
      </c>
      <c r="R89" s="81">
        <v>162.80000000000001</v>
      </c>
      <c r="S89" s="81">
        <f t="shared" si="76"/>
        <v>6.29</v>
      </c>
      <c r="T89" s="108">
        <f t="shared" si="60"/>
        <v>12.68</v>
      </c>
      <c r="U89" s="23">
        <f t="shared" si="43"/>
        <v>500</v>
      </c>
      <c r="V89" s="137">
        <v>56.021209333333303</v>
      </c>
      <c r="W89" s="136">
        <f t="shared" si="77"/>
        <v>0.22408483733333301</v>
      </c>
      <c r="X89" s="136">
        <f t="shared" si="78"/>
        <v>6.39</v>
      </c>
      <c r="Y89" s="136">
        <f t="shared" si="79"/>
        <v>7.67</v>
      </c>
      <c r="Z89" s="163">
        <f t="shared" si="61"/>
        <v>26.97</v>
      </c>
      <c r="AA89" s="121">
        <v>2</v>
      </c>
      <c r="AB89" s="162"/>
    </row>
    <row r="90" spans="1:28" s="3" customFormat="1" ht="16.95" customHeight="1" x14ac:dyDescent="0.3">
      <c r="A90" s="20">
        <v>45880</v>
      </c>
      <c r="B90" s="70" t="s">
        <v>371</v>
      </c>
      <c r="C90" s="168" t="s">
        <v>372</v>
      </c>
      <c r="D90" s="66" t="s">
        <v>373</v>
      </c>
      <c r="E90" s="64">
        <v>8</v>
      </c>
      <c r="F90" s="23">
        <v>500</v>
      </c>
      <c r="G90" s="26">
        <f>(35)/G$1</f>
        <v>43.75</v>
      </c>
      <c r="H90" s="67">
        <f t="shared" si="81"/>
        <v>0</v>
      </c>
      <c r="I90" s="67">
        <f>(25.5)/I$1</f>
        <v>31.875</v>
      </c>
      <c r="J90" s="67">
        <f>60/J$1</f>
        <v>75</v>
      </c>
      <c r="K90" s="80">
        <v>0</v>
      </c>
      <c r="L90" s="99">
        <f>11*1.1*60/2</f>
        <v>363</v>
      </c>
      <c r="M90" s="80">
        <v>60</v>
      </c>
      <c r="N90" s="80">
        <f t="shared" si="59"/>
        <v>573.625</v>
      </c>
      <c r="O90" s="81">
        <v>34.299999999999997</v>
      </c>
      <c r="P90" s="81">
        <f t="shared" si="75"/>
        <v>5.74</v>
      </c>
      <c r="Q90" s="179">
        <v>53.75</v>
      </c>
      <c r="R90" s="81">
        <v>162.80000000000001</v>
      </c>
      <c r="S90" s="81">
        <f t="shared" si="76"/>
        <v>2.5499999999999998</v>
      </c>
      <c r="T90" s="108">
        <f t="shared" si="60"/>
        <v>8.2899999999999991</v>
      </c>
      <c r="U90" s="23">
        <f t="shared" si="43"/>
        <v>500</v>
      </c>
      <c r="V90" s="137">
        <v>11.0123582</v>
      </c>
      <c r="W90" s="136">
        <f t="shared" si="77"/>
        <v>4.4049432800000003E-2</v>
      </c>
      <c r="X90" s="136">
        <f t="shared" si="78"/>
        <v>5.74</v>
      </c>
      <c r="Y90" s="136">
        <f t="shared" si="79"/>
        <v>6.89</v>
      </c>
      <c r="Z90" s="163">
        <f t="shared" si="61"/>
        <v>20.97</v>
      </c>
      <c r="AA90" s="121">
        <v>44</v>
      </c>
      <c r="AB90" s="162"/>
    </row>
    <row r="91" spans="1:28" s="3" customFormat="1" ht="16.95" customHeight="1" x14ac:dyDescent="0.3">
      <c r="A91" s="20">
        <v>45880</v>
      </c>
      <c r="B91" s="70" t="s">
        <v>374</v>
      </c>
      <c r="C91" s="168" t="s">
        <v>375</v>
      </c>
      <c r="D91" s="66" t="s">
        <v>376</v>
      </c>
      <c r="E91" s="64">
        <v>4</v>
      </c>
      <c r="F91" s="23">
        <v>500</v>
      </c>
      <c r="G91" s="26">
        <f>(80+27.5)/G$1</f>
        <v>134.375</v>
      </c>
      <c r="H91" s="67">
        <f t="shared" si="81"/>
        <v>0</v>
      </c>
      <c r="I91" s="67">
        <f>(34.5+45)/I$1</f>
        <v>99.375</v>
      </c>
      <c r="J91" s="67">
        <f>280/J$1</f>
        <v>350</v>
      </c>
      <c r="K91" s="80">
        <v>30</v>
      </c>
      <c r="L91" s="99">
        <f t="shared" si="83"/>
        <v>264</v>
      </c>
      <c r="M91" s="80">
        <v>60</v>
      </c>
      <c r="N91" s="80">
        <f t="shared" si="59"/>
        <v>937.75</v>
      </c>
      <c r="O91" s="81">
        <v>34.299999999999997</v>
      </c>
      <c r="P91" s="81">
        <f t="shared" si="75"/>
        <v>9.3800000000000008</v>
      </c>
      <c r="Q91" s="179">
        <v>152.5</v>
      </c>
      <c r="R91" s="81">
        <v>162.80000000000001</v>
      </c>
      <c r="S91" s="81">
        <f t="shared" si="76"/>
        <v>7.24</v>
      </c>
      <c r="T91" s="108">
        <f t="shared" si="60"/>
        <v>16.62</v>
      </c>
      <c r="U91" s="23">
        <f t="shared" si="43"/>
        <v>500</v>
      </c>
      <c r="V91" s="137">
        <v>160.63300158000001</v>
      </c>
      <c r="W91" s="136">
        <f t="shared" si="77"/>
        <v>0.64253200631999996</v>
      </c>
      <c r="X91" s="136">
        <f t="shared" si="78"/>
        <v>9.3800000000000008</v>
      </c>
      <c r="Y91" s="136">
        <f t="shared" si="79"/>
        <v>11.26</v>
      </c>
      <c r="Z91" s="163">
        <f t="shared" si="61"/>
        <v>37.909999999999997</v>
      </c>
      <c r="AA91" s="121">
        <v>140</v>
      </c>
      <c r="AB91" s="162"/>
    </row>
    <row r="92" spans="1:28" s="3" customFormat="1" ht="16.95" customHeight="1" x14ac:dyDescent="0.3">
      <c r="A92" s="20">
        <v>45880</v>
      </c>
      <c r="B92" s="70" t="s">
        <v>377</v>
      </c>
      <c r="C92" s="168" t="s">
        <v>378</v>
      </c>
      <c r="D92" s="66" t="s">
        <v>379</v>
      </c>
      <c r="E92" s="64">
        <v>6</v>
      </c>
      <c r="F92" s="23">
        <v>500</v>
      </c>
      <c r="G92" s="26">
        <f>(56.67)/G$1</f>
        <v>70.837500000000006</v>
      </c>
      <c r="H92" s="67">
        <f t="shared" si="81"/>
        <v>0</v>
      </c>
      <c r="I92" s="67">
        <f>(27+45)/I$1</f>
        <v>90</v>
      </c>
      <c r="J92" s="67">
        <f t="shared" si="82"/>
        <v>150</v>
      </c>
      <c r="K92" s="80">
        <v>30</v>
      </c>
      <c r="L92" s="99">
        <f t="shared" si="83"/>
        <v>264</v>
      </c>
      <c r="M92" s="80">
        <v>60</v>
      </c>
      <c r="N92" s="80">
        <f t="shared" si="59"/>
        <v>664.83749999999998</v>
      </c>
      <c r="O92" s="81">
        <v>34.299999999999997</v>
      </c>
      <c r="P92" s="81">
        <f t="shared" si="75"/>
        <v>6.65</v>
      </c>
      <c r="Q92" s="179">
        <v>109.166666666667</v>
      </c>
      <c r="R92" s="81">
        <v>162.80000000000001</v>
      </c>
      <c r="S92" s="81">
        <f t="shared" si="76"/>
        <v>5.18</v>
      </c>
      <c r="T92" s="108">
        <f t="shared" si="60"/>
        <v>11.83</v>
      </c>
      <c r="U92" s="23">
        <f t="shared" si="43"/>
        <v>500</v>
      </c>
      <c r="V92" s="137">
        <v>41.992577452592599</v>
      </c>
      <c r="W92" s="136">
        <f t="shared" si="77"/>
        <v>0.16797030981037001</v>
      </c>
      <c r="X92" s="136">
        <f t="shared" si="78"/>
        <v>6.65</v>
      </c>
      <c r="Y92" s="136">
        <f t="shared" si="79"/>
        <v>7.98</v>
      </c>
      <c r="Z92" s="163">
        <f t="shared" si="61"/>
        <v>26.63</v>
      </c>
      <c r="AA92" s="121">
        <v>121</v>
      </c>
      <c r="AB92" s="162"/>
    </row>
    <row r="93" spans="1:28" s="3" customFormat="1" ht="16.95" customHeight="1" x14ac:dyDescent="0.3">
      <c r="A93" s="20">
        <v>45880</v>
      </c>
      <c r="B93" s="70" t="s">
        <v>380</v>
      </c>
      <c r="C93" s="168" t="s">
        <v>381</v>
      </c>
      <c r="D93" s="66" t="s">
        <v>382</v>
      </c>
      <c r="E93" s="64">
        <v>4</v>
      </c>
      <c r="F93" s="23">
        <v>500</v>
      </c>
      <c r="G93" s="26">
        <f>(80)/G$1</f>
        <v>100</v>
      </c>
      <c r="H93" s="67">
        <f t="shared" si="81"/>
        <v>0</v>
      </c>
      <c r="I93" s="67">
        <f>(28.5+70)/I$1</f>
        <v>123.125</v>
      </c>
      <c r="J93" s="67">
        <f t="shared" si="82"/>
        <v>150</v>
      </c>
      <c r="K93" s="80">
        <v>30</v>
      </c>
      <c r="L93" s="99">
        <f>16*1.1*60/2</f>
        <v>528</v>
      </c>
      <c r="M93" s="80">
        <v>60</v>
      </c>
      <c r="N93" s="80">
        <f t="shared" si="59"/>
        <v>991.125</v>
      </c>
      <c r="O93" s="81">
        <v>34.299999999999997</v>
      </c>
      <c r="P93" s="81">
        <f t="shared" si="75"/>
        <v>9.92</v>
      </c>
      <c r="Q93" s="179">
        <v>132.5</v>
      </c>
      <c r="R93" s="81">
        <v>162.80000000000001</v>
      </c>
      <c r="S93" s="81">
        <f t="shared" si="76"/>
        <v>6.29</v>
      </c>
      <c r="T93" s="108">
        <f t="shared" si="60"/>
        <v>16.21</v>
      </c>
      <c r="U93" s="23">
        <f t="shared" si="43"/>
        <v>500</v>
      </c>
      <c r="V93" s="137">
        <v>64.593088972592597</v>
      </c>
      <c r="W93" s="136">
        <f t="shared" si="77"/>
        <v>0.25837235589037</v>
      </c>
      <c r="X93" s="136">
        <f t="shared" si="78"/>
        <v>9.92</v>
      </c>
      <c r="Y93" s="136">
        <f t="shared" si="79"/>
        <v>11.91</v>
      </c>
      <c r="Z93" s="163">
        <f t="shared" si="61"/>
        <v>38.299999999999997</v>
      </c>
      <c r="AA93" s="121">
        <v>177</v>
      </c>
      <c r="AB93" s="162"/>
    </row>
    <row r="94" spans="1:28" s="3" customFormat="1" ht="16.95" customHeight="1" x14ac:dyDescent="0.3">
      <c r="A94" s="20">
        <v>45889</v>
      </c>
      <c r="B94" s="70" t="s">
        <v>383</v>
      </c>
      <c r="C94" s="169" t="s">
        <v>340</v>
      </c>
      <c r="D94" s="66" t="s">
        <v>384</v>
      </c>
      <c r="E94" s="64">
        <v>1</v>
      </c>
      <c r="F94" s="23">
        <v>500</v>
      </c>
      <c r="G94" s="26">
        <f>265/G$1</f>
        <v>331.25</v>
      </c>
      <c r="H94" s="26">
        <f t="shared" si="81"/>
        <v>0</v>
      </c>
      <c r="I94" s="26">
        <f>(0)/I$1</f>
        <v>0</v>
      </c>
      <c r="J94" s="26">
        <f>345/J$1</f>
        <v>431.25</v>
      </c>
      <c r="K94" s="80">
        <v>0</v>
      </c>
      <c r="L94" s="93">
        <f>11*1.1*60/2</f>
        <v>363</v>
      </c>
      <c r="M94" s="80">
        <v>60</v>
      </c>
      <c r="N94" s="80">
        <f t="shared" si="59"/>
        <v>1185.5</v>
      </c>
      <c r="O94" s="81">
        <v>34.299999999999997</v>
      </c>
      <c r="P94" s="81">
        <f t="shared" si="75"/>
        <v>11.86</v>
      </c>
      <c r="Q94" s="179">
        <v>415</v>
      </c>
      <c r="R94" s="81">
        <v>162.80000000000001</v>
      </c>
      <c r="S94" s="81">
        <f t="shared" si="76"/>
        <v>19.71</v>
      </c>
      <c r="T94" s="108">
        <f t="shared" si="60"/>
        <v>31.57</v>
      </c>
      <c r="U94" s="23">
        <f t="shared" si="43"/>
        <v>500</v>
      </c>
      <c r="V94" s="180">
        <v>668.14890477999995</v>
      </c>
      <c r="W94" s="136">
        <f t="shared" si="77"/>
        <v>2.67259561912</v>
      </c>
      <c r="X94" s="136">
        <f t="shared" si="78"/>
        <v>11.86</v>
      </c>
      <c r="Y94" s="136">
        <f t="shared" si="79"/>
        <v>14.24</v>
      </c>
      <c r="Z94" s="163">
        <f t="shared" si="61"/>
        <v>60.35</v>
      </c>
      <c r="AA94" s="121">
        <v>289</v>
      </c>
      <c r="AB94" s="162"/>
    </row>
    <row r="95" spans="1:28" s="3" customFormat="1" ht="16.95" customHeight="1" x14ac:dyDescent="0.3">
      <c r="A95" s="20">
        <v>45889</v>
      </c>
      <c r="B95" s="70" t="s">
        <v>385</v>
      </c>
      <c r="C95" s="169" t="s">
        <v>386</v>
      </c>
      <c r="D95" s="66" t="s">
        <v>205</v>
      </c>
      <c r="E95" s="64">
        <v>1</v>
      </c>
      <c r="F95" s="23">
        <v>500</v>
      </c>
      <c r="G95" s="26">
        <f>360/G$1</f>
        <v>450</v>
      </c>
      <c r="H95" s="26">
        <f>540/$G$1</f>
        <v>675</v>
      </c>
      <c r="I95" s="26">
        <f>(0)/I$1</f>
        <v>0</v>
      </c>
      <c r="J95" s="26">
        <f>300/J$1</f>
        <v>375</v>
      </c>
      <c r="K95" s="80">
        <v>0</v>
      </c>
      <c r="L95" s="93">
        <f>20*1.1*60/2</f>
        <v>660</v>
      </c>
      <c r="M95" s="80">
        <v>60</v>
      </c>
      <c r="N95" s="80">
        <f t="shared" si="59"/>
        <v>2220</v>
      </c>
      <c r="O95" s="81">
        <v>34.299999999999997</v>
      </c>
      <c r="P95" s="81">
        <f t="shared" si="75"/>
        <v>22.21</v>
      </c>
      <c r="Q95" s="179">
        <v>490</v>
      </c>
      <c r="R95" s="81">
        <v>162.80000000000001</v>
      </c>
      <c r="S95" s="81">
        <f t="shared" si="76"/>
        <v>23.27</v>
      </c>
      <c r="T95" s="108">
        <f t="shared" si="60"/>
        <v>45.48</v>
      </c>
      <c r="U95" s="23">
        <f t="shared" si="43"/>
        <v>500</v>
      </c>
      <c r="V95" s="180">
        <v>999.25666187399997</v>
      </c>
      <c r="W95" s="136">
        <f t="shared" si="77"/>
        <v>3.9970266474959999</v>
      </c>
      <c r="X95" s="136">
        <f t="shared" si="78"/>
        <v>22.21</v>
      </c>
      <c r="Y95" s="136">
        <f t="shared" si="79"/>
        <v>26.66</v>
      </c>
      <c r="Z95" s="163">
        <f t="shared" si="61"/>
        <v>98.35</v>
      </c>
      <c r="AA95" s="121">
        <v>663</v>
      </c>
      <c r="AB95" s="162"/>
    </row>
    <row r="96" spans="1:28" s="3" customFormat="1" ht="16.95" customHeight="1" x14ac:dyDescent="0.3">
      <c r="A96" s="20">
        <v>45915</v>
      </c>
      <c r="B96" s="20" t="s">
        <v>387</v>
      </c>
      <c r="C96" s="22" t="s">
        <v>388</v>
      </c>
      <c r="D96" s="215" t="s">
        <v>389</v>
      </c>
      <c r="E96" s="64">
        <v>1</v>
      </c>
      <c r="F96" s="46">
        <v>580</v>
      </c>
      <c r="G96" s="26">
        <f>280/0.8</f>
        <v>350</v>
      </c>
      <c r="H96" s="26">
        <f t="shared" ref="H96:H98" si="84">0/0.8</f>
        <v>0</v>
      </c>
      <c r="I96" s="26">
        <f>50/0.8</f>
        <v>62.5</v>
      </c>
      <c r="J96" s="26">
        <f>170/0.8</f>
        <v>212.5</v>
      </c>
      <c r="K96" s="80">
        <v>0</v>
      </c>
      <c r="L96" s="80">
        <f>25*60*1.1/2</f>
        <v>825</v>
      </c>
      <c r="M96" s="80">
        <v>90</v>
      </c>
      <c r="N96" s="80">
        <f t="shared" si="59"/>
        <v>1540</v>
      </c>
      <c r="O96" s="81">
        <v>34.299999999999997</v>
      </c>
      <c r="P96" s="81">
        <f t="shared" si="75"/>
        <v>15.41</v>
      </c>
      <c r="Q96" s="182">
        <v>300</v>
      </c>
      <c r="R96" s="81">
        <v>162.80000000000001</v>
      </c>
      <c r="S96" s="81">
        <f t="shared" si="76"/>
        <v>14.25</v>
      </c>
      <c r="T96" s="108">
        <f t="shared" si="60"/>
        <v>29.66</v>
      </c>
      <c r="U96" s="23">
        <f t="shared" si="43"/>
        <v>580</v>
      </c>
      <c r="V96" s="109">
        <v>328.02314553999997</v>
      </c>
      <c r="W96" s="139">
        <f t="shared" si="77"/>
        <v>1.31209258216</v>
      </c>
      <c r="X96" s="120">
        <f t="shared" si="78"/>
        <v>15.41</v>
      </c>
      <c r="Y96" s="120">
        <f t="shared" si="79"/>
        <v>18.5</v>
      </c>
      <c r="Z96" s="187">
        <f t="shared" si="61"/>
        <v>64.89</v>
      </c>
      <c r="AA96" s="121">
        <v>692</v>
      </c>
      <c r="AB96" s="162"/>
    </row>
    <row r="97" spans="1:28" s="3" customFormat="1" ht="16.95" customHeight="1" x14ac:dyDescent="0.3">
      <c r="A97" s="20">
        <v>45915</v>
      </c>
      <c r="B97" s="20" t="s">
        <v>390</v>
      </c>
      <c r="C97" s="22" t="s">
        <v>391</v>
      </c>
      <c r="D97" s="215" t="s">
        <v>392</v>
      </c>
      <c r="E97" s="64">
        <v>2</v>
      </c>
      <c r="F97" s="46">
        <v>290</v>
      </c>
      <c r="G97" s="26">
        <f>140/0.8</f>
        <v>175</v>
      </c>
      <c r="H97" s="26">
        <f t="shared" si="84"/>
        <v>0</v>
      </c>
      <c r="I97" s="26">
        <f>149/0.8</f>
        <v>186.25</v>
      </c>
      <c r="J97" s="26">
        <f>60/0.8</f>
        <v>75</v>
      </c>
      <c r="K97" s="80">
        <v>0</v>
      </c>
      <c r="L97" s="80">
        <f>16*60*1.1/2</f>
        <v>528</v>
      </c>
      <c r="M97" s="80">
        <v>90</v>
      </c>
      <c r="N97" s="80">
        <f t="shared" si="59"/>
        <v>1054.25</v>
      </c>
      <c r="O97" s="81">
        <v>34.299999999999997</v>
      </c>
      <c r="P97" s="81">
        <f t="shared" si="75"/>
        <v>10.55</v>
      </c>
      <c r="Q97" s="182">
        <v>150</v>
      </c>
      <c r="R97" s="81">
        <v>162.80000000000001</v>
      </c>
      <c r="S97" s="81">
        <f t="shared" si="76"/>
        <v>7.12</v>
      </c>
      <c r="T97" s="108">
        <f t="shared" si="60"/>
        <v>17.670000000000002</v>
      </c>
      <c r="U97" s="23">
        <f t="shared" si="43"/>
        <v>290</v>
      </c>
      <c r="V97" s="109">
        <v>142.97485204</v>
      </c>
      <c r="W97" s="139">
        <f t="shared" si="77"/>
        <v>0.57189940815999996</v>
      </c>
      <c r="X97" s="120">
        <f t="shared" ref="X97:X100" si="85">ROUNDUP(P97*1.2,2)</f>
        <v>12.66</v>
      </c>
      <c r="Y97" s="120">
        <f t="shared" ref="Y97:Y100" si="86">ROUNDUP(P97*1.5,2)</f>
        <v>15.83</v>
      </c>
      <c r="Z97" s="187">
        <f t="shared" si="61"/>
        <v>46.74</v>
      </c>
      <c r="AA97" s="121">
        <v>125</v>
      </c>
      <c r="AB97" s="162"/>
    </row>
    <row r="98" spans="1:28" s="3" customFormat="1" ht="16.95" customHeight="1" x14ac:dyDescent="0.3">
      <c r="A98" s="20">
        <v>45915</v>
      </c>
      <c r="B98" s="20" t="s">
        <v>393</v>
      </c>
      <c r="C98" s="22" t="s">
        <v>394</v>
      </c>
      <c r="D98" s="215" t="s">
        <v>395</v>
      </c>
      <c r="E98" s="64">
        <v>2</v>
      </c>
      <c r="F98" s="46">
        <v>580</v>
      </c>
      <c r="G98" s="26">
        <f>140/0.8</f>
        <v>175</v>
      </c>
      <c r="H98" s="26">
        <f t="shared" si="84"/>
        <v>0</v>
      </c>
      <c r="I98" s="26">
        <f>120/0.8</f>
        <v>150</v>
      </c>
      <c r="J98" s="26">
        <f>120/0.8</f>
        <v>150</v>
      </c>
      <c r="K98" s="80">
        <v>0</v>
      </c>
      <c r="L98" s="80">
        <f>8*60*1.1/2</f>
        <v>264</v>
      </c>
      <c r="M98" s="80">
        <v>90</v>
      </c>
      <c r="N98" s="80">
        <f t="shared" si="59"/>
        <v>829</v>
      </c>
      <c r="O98" s="81">
        <v>34.299999999999997</v>
      </c>
      <c r="P98" s="81">
        <f t="shared" si="75"/>
        <v>8.2899999999999991</v>
      </c>
      <c r="Q98" s="182">
        <v>160</v>
      </c>
      <c r="R98" s="81">
        <v>162.80000000000001</v>
      </c>
      <c r="S98" s="81">
        <f t="shared" si="76"/>
        <v>7.6</v>
      </c>
      <c r="T98" s="108">
        <f t="shared" si="60"/>
        <v>15.89</v>
      </c>
      <c r="U98" s="23">
        <f t="shared" si="43"/>
        <v>580</v>
      </c>
      <c r="V98" s="109">
        <v>91.61718114</v>
      </c>
      <c r="W98" s="139">
        <f t="shared" si="77"/>
        <v>0.36646872456000001</v>
      </c>
      <c r="X98" s="120">
        <f>ROUNDUP(P98*1,2)</f>
        <v>8.2899999999999991</v>
      </c>
      <c r="Y98" s="120">
        <f>ROUNDUP(P98*1.2,2)</f>
        <v>9.9499999999999993</v>
      </c>
      <c r="Z98" s="187">
        <f t="shared" si="61"/>
        <v>34.5</v>
      </c>
      <c r="AA98" s="121">
        <v>217</v>
      </c>
      <c r="AB98" s="162"/>
    </row>
    <row r="99" spans="1:28" s="3" customFormat="1" ht="16.95" customHeight="1" x14ac:dyDescent="0.3">
      <c r="A99" s="20">
        <v>45915</v>
      </c>
      <c r="B99" s="20" t="s">
        <v>396</v>
      </c>
      <c r="C99" s="22" t="s">
        <v>397</v>
      </c>
      <c r="D99" s="22" t="s">
        <v>398</v>
      </c>
      <c r="E99" s="64">
        <v>1</v>
      </c>
      <c r="F99" s="46">
        <v>290</v>
      </c>
      <c r="G99" s="26">
        <f>505/0.8</f>
        <v>631.25</v>
      </c>
      <c r="H99" s="26">
        <f>420/0.8</f>
        <v>525</v>
      </c>
      <c r="I99" s="26">
        <f>0/0.8</f>
        <v>0</v>
      </c>
      <c r="J99" s="26">
        <f>290/0.8</f>
        <v>362.5</v>
      </c>
      <c r="K99" s="80">
        <v>60</v>
      </c>
      <c r="L99" s="80">
        <f>25*60*1.1/2</f>
        <v>825</v>
      </c>
      <c r="M99" s="80">
        <v>90</v>
      </c>
      <c r="N99" s="80">
        <f t="shared" si="59"/>
        <v>2493.75</v>
      </c>
      <c r="O99" s="81">
        <v>34.299999999999997</v>
      </c>
      <c r="P99" s="81">
        <f t="shared" si="75"/>
        <v>24.95</v>
      </c>
      <c r="Q99" s="182">
        <v>530</v>
      </c>
      <c r="R99" s="81">
        <v>162.80000000000001</v>
      </c>
      <c r="S99" s="81">
        <f t="shared" si="76"/>
        <v>25.17</v>
      </c>
      <c r="T99" s="108">
        <f t="shared" si="60"/>
        <v>50.12</v>
      </c>
      <c r="U99" s="23">
        <f t="shared" si="43"/>
        <v>290</v>
      </c>
      <c r="V99" s="109">
        <v>493.62020825000002</v>
      </c>
      <c r="W99" s="139">
        <f t="shared" si="77"/>
        <v>1.9744808330000001</v>
      </c>
      <c r="X99" s="120">
        <f t="shared" si="85"/>
        <v>29.94</v>
      </c>
      <c r="Y99" s="120">
        <f t="shared" si="86"/>
        <v>37.43</v>
      </c>
      <c r="Z99" s="187">
        <f t="shared" si="61"/>
        <v>119.47</v>
      </c>
      <c r="AA99" s="121">
        <v>1289</v>
      </c>
      <c r="AB99" s="162"/>
    </row>
    <row r="100" spans="1:28" s="3" customFormat="1" ht="16.95" customHeight="1" x14ac:dyDescent="0.3">
      <c r="A100" s="20">
        <v>45915</v>
      </c>
      <c r="B100" s="20" t="s">
        <v>399</v>
      </c>
      <c r="C100" s="22" t="s">
        <v>400</v>
      </c>
      <c r="D100" s="22" t="s">
        <v>401</v>
      </c>
      <c r="E100" s="64">
        <v>1</v>
      </c>
      <c r="F100" s="46">
        <v>290</v>
      </c>
      <c r="G100" s="26">
        <f>445/0.8</f>
        <v>556.25</v>
      </c>
      <c r="H100" s="26">
        <f>420/0.8</f>
        <v>525</v>
      </c>
      <c r="I100" s="26">
        <f>0/0.8</f>
        <v>0</v>
      </c>
      <c r="J100" s="26">
        <f>290/0.8</f>
        <v>362.5</v>
      </c>
      <c r="K100" s="80">
        <v>60</v>
      </c>
      <c r="L100" s="80">
        <f>20*60*1.1/2</f>
        <v>660</v>
      </c>
      <c r="M100" s="80">
        <v>90</v>
      </c>
      <c r="N100" s="80">
        <f t="shared" si="59"/>
        <v>2253.75</v>
      </c>
      <c r="O100" s="81">
        <v>34.299999999999997</v>
      </c>
      <c r="P100" s="81">
        <f t="shared" si="75"/>
        <v>22.55</v>
      </c>
      <c r="Q100" s="182">
        <v>480</v>
      </c>
      <c r="R100" s="81">
        <v>162.80000000000001</v>
      </c>
      <c r="S100" s="81">
        <f t="shared" si="76"/>
        <v>22.79</v>
      </c>
      <c r="T100" s="108">
        <f t="shared" si="60"/>
        <v>45.34</v>
      </c>
      <c r="U100" s="23">
        <f t="shared" si="43"/>
        <v>290</v>
      </c>
      <c r="V100" s="109">
        <v>485.47020824999998</v>
      </c>
      <c r="W100" s="139">
        <f t="shared" si="77"/>
        <v>1.9418808329999999</v>
      </c>
      <c r="X100" s="120">
        <f t="shared" si="85"/>
        <v>27.06</v>
      </c>
      <c r="Y100" s="120">
        <f t="shared" si="86"/>
        <v>33.83</v>
      </c>
      <c r="Z100" s="187">
        <f t="shared" si="61"/>
        <v>108.18</v>
      </c>
      <c r="AA100" s="121">
        <v>1289</v>
      </c>
      <c r="AB100" s="162"/>
    </row>
    <row r="101" spans="1:28" s="3" customFormat="1" ht="16.95" customHeight="1" x14ac:dyDescent="0.3">
      <c r="A101" s="20">
        <v>45915</v>
      </c>
      <c r="B101" s="20" t="s">
        <v>402</v>
      </c>
      <c r="C101" s="22" t="s">
        <v>403</v>
      </c>
      <c r="D101" s="22" t="s">
        <v>404</v>
      </c>
      <c r="E101" s="64">
        <v>4</v>
      </c>
      <c r="F101" s="46">
        <v>500</v>
      </c>
      <c r="G101" s="26">
        <f>89.5625/G$1</f>
        <v>111.953125</v>
      </c>
      <c r="H101" s="26">
        <f>0/H$1</f>
        <v>0</v>
      </c>
      <c r="I101" s="26">
        <f>22/I$1</f>
        <v>27.5</v>
      </c>
      <c r="J101" s="26">
        <f>88/J$1</f>
        <v>110</v>
      </c>
      <c r="K101" s="80">
        <v>0</v>
      </c>
      <c r="L101" s="80">
        <f>20*60*1.1/2</f>
        <v>660</v>
      </c>
      <c r="M101" s="80">
        <v>90</v>
      </c>
      <c r="N101" s="80">
        <f t="shared" si="59"/>
        <v>999.453125</v>
      </c>
      <c r="O101" s="81">
        <v>34.299999999999997</v>
      </c>
      <c r="P101" s="81">
        <f t="shared" si="75"/>
        <v>10</v>
      </c>
      <c r="Q101" s="182">
        <v>134.52500000000001</v>
      </c>
      <c r="R101" s="81">
        <v>162.80000000000001</v>
      </c>
      <c r="S101" s="81">
        <f t="shared" si="76"/>
        <v>6.39</v>
      </c>
      <c r="T101" s="108">
        <f t="shared" si="60"/>
        <v>16.39</v>
      </c>
      <c r="U101" s="23">
        <f t="shared" si="43"/>
        <v>500</v>
      </c>
      <c r="V101" s="109">
        <v>99.476697180000002</v>
      </c>
      <c r="W101" s="139">
        <f t="shared" si="77"/>
        <v>0.39790678872000002</v>
      </c>
      <c r="X101" s="120">
        <f>ROUNDUP(P101*1,2)</f>
        <v>10</v>
      </c>
      <c r="Y101" s="120">
        <f>ROUNDUP(P101*1.2,2)</f>
        <v>12</v>
      </c>
      <c r="Z101" s="187">
        <f t="shared" si="61"/>
        <v>38.79</v>
      </c>
      <c r="AA101" s="121">
        <v>204</v>
      </c>
      <c r="AB101" s="162"/>
    </row>
    <row r="102" spans="1:28" s="3" customFormat="1" ht="16.95" customHeight="1" x14ac:dyDescent="0.3">
      <c r="A102" s="20">
        <v>45941</v>
      </c>
      <c r="B102" s="20" t="s">
        <v>405</v>
      </c>
      <c r="C102" s="22" t="s">
        <v>406</v>
      </c>
      <c r="D102" s="22" t="s">
        <v>407</v>
      </c>
      <c r="E102" s="24">
        <v>4</v>
      </c>
      <c r="F102" s="46">
        <v>300</v>
      </c>
      <c r="G102" s="26">
        <f>183.75/G$1</f>
        <v>229.6875</v>
      </c>
      <c r="H102" s="26">
        <f>105/0.95</f>
        <v>110.526315789474</v>
      </c>
      <c r="I102" s="26">
        <f>(0+30)/I$1</f>
        <v>37.5</v>
      </c>
      <c r="J102" s="26">
        <f>130/J$1</f>
        <v>162.5</v>
      </c>
      <c r="K102" s="80">
        <v>0</v>
      </c>
      <c r="L102" s="80">
        <f>15*1.1*60/2</f>
        <v>495</v>
      </c>
      <c r="M102" s="80">
        <v>90</v>
      </c>
      <c r="N102" s="80">
        <f t="shared" si="59"/>
        <v>1125.2138157894699</v>
      </c>
      <c r="O102" s="81">
        <v>34.299999999999997</v>
      </c>
      <c r="P102" s="81">
        <f t="shared" si="75"/>
        <v>11.26</v>
      </c>
      <c r="Q102" s="182">
        <v>151.875</v>
      </c>
      <c r="R102" s="81">
        <v>162.80000000000001</v>
      </c>
      <c r="S102" s="81">
        <f t="shared" si="76"/>
        <v>7.21</v>
      </c>
      <c r="T102" s="108">
        <f t="shared" si="60"/>
        <v>18.47</v>
      </c>
      <c r="U102" s="23">
        <f t="shared" si="43"/>
        <v>300</v>
      </c>
      <c r="V102" s="109">
        <v>265.55008095400001</v>
      </c>
      <c r="W102" s="139">
        <f t="shared" si="77"/>
        <v>1.062200323816</v>
      </c>
      <c r="X102" s="120">
        <f>ROUNDUP(P102*1.2,2)</f>
        <v>13.52</v>
      </c>
      <c r="Y102" s="120">
        <f>ROUNDUP(P102*1.5,2)</f>
        <v>16.89</v>
      </c>
      <c r="Z102" s="187">
        <f t="shared" si="61"/>
        <v>49.95</v>
      </c>
      <c r="AA102" s="121">
        <v>848</v>
      </c>
      <c r="AB102" s="162"/>
    </row>
    <row r="103" spans="1:28" x14ac:dyDescent="0.3">
      <c r="A103" s="20">
        <v>45960</v>
      </c>
      <c r="B103" s="20" t="s">
        <v>408</v>
      </c>
      <c r="C103" s="22" t="s">
        <v>409</v>
      </c>
      <c r="D103" s="22" t="s">
        <v>410</v>
      </c>
      <c r="E103" s="64">
        <v>4</v>
      </c>
      <c r="F103" s="170">
        <v>8100</v>
      </c>
      <c r="G103" s="26">
        <f>80.66/G$1</f>
        <v>100.825</v>
      </c>
      <c r="H103" s="26">
        <f>0/H$1</f>
        <v>0</v>
      </c>
      <c r="I103" s="26">
        <f>22/I$1</f>
        <v>27.5</v>
      </c>
      <c r="J103" s="26">
        <f>70.4/J$1</f>
        <v>88</v>
      </c>
      <c r="K103" s="80">
        <v>0</v>
      </c>
      <c r="L103" s="80">
        <f>15*60*1.1/2</f>
        <v>495</v>
      </c>
      <c r="M103" s="80">
        <v>90</v>
      </c>
      <c r="N103" s="80">
        <f t="shared" si="59"/>
        <v>801.32500000000005</v>
      </c>
      <c r="O103" s="81">
        <v>34.299999999999997</v>
      </c>
      <c r="P103" s="81">
        <f t="shared" ref="P103:P111" si="87">ROUND((O103*N103/3600)*1.02,2)</f>
        <v>7.79</v>
      </c>
      <c r="Q103" s="81">
        <v>118.97499999999999</v>
      </c>
      <c r="R103" s="81">
        <v>162.80000000000001</v>
      </c>
      <c r="S103" s="81">
        <f t="shared" ref="S103:S111" si="88">ROUND((R103*Q103/3600)*1.02,2)</f>
        <v>5.49</v>
      </c>
      <c r="T103" s="81">
        <f t="shared" si="60"/>
        <v>13.28</v>
      </c>
      <c r="U103" s="119">
        <f t="shared" si="43"/>
        <v>8100</v>
      </c>
      <c r="V103" s="109">
        <v>50.402155983999997</v>
      </c>
      <c r="W103" s="139">
        <f t="shared" ref="W103:W105" si="89">V103*0.2%</f>
        <v>0.10080431196799999</v>
      </c>
      <c r="X103" s="120">
        <f t="shared" ref="X103:X105" si="90">ROUNDUP(P103*0.8,2)</f>
        <v>6.24</v>
      </c>
      <c r="Y103" s="120">
        <f t="shared" ref="Y103:Y105" si="91">ROUNDUP(P103*0.9,2)</f>
        <v>7.02</v>
      </c>
      <c r="Z103" s="109">
        <f t="shared" si="61"/>
        <v>26.65</v>
      </c>
      <c r="AA103" s="121"/>
    </row>
    <row r="104" spans="1:28" x14ac:dyDescent="0.3">
      <c r="A104" s="20">
        <v>45960</v>
      </c>
      <c r="B104" s="39" t="s">
        <v>180</v>
      </c>
      <c r="C104" s="39" t="s">
        <v>411</v>
      </c>
      <c r="D104" s="22" t="s">
        <v>181</v>
      </c>
      <c r="E104" s="24">
        <v>4</v>
      </c>
      <c r="F104" s="171">
        <v>2100</v>
      </c>
      <c r="G104" s="26">
        <f>201.75/G$1</f>
        <v>252.1875</v>
      </c>
      <c r="H104" s="26">
        <f>150/H$1</f>
        <v>187.5</v>
      </c>
      <c r="I104" s="26">
        <f>19.5/I$1</f>
        <v>24.375</v>
      </c>
      <c r="J104" s="67">
        <f>170/J$1</f>
        <v>212.5</v>
      </c>
      <c r="K104" s="80">
        <v>0</v>
      </c>
      <c r="L104" s="79">
        <f>27*60*1.1/2</f>
        <v>891</v>
      </c>
      <c r="M104" s="80">
        <v>90</v>
      </c>
      <c r="N104" s="80">
        <f t="shared" si="59"/>
        <v>1657.5625</v>
      </c>
      <c r="O104" s="81">
        <v>34.299999999999997</v>
      </c>
      <c r="P104" s="173">
        <f>ROUND((O104*N104/3600)*1.05,2)</f>
        <v>16.579999999999998</v>
      </c>
      <c r="Q104" s="80">
        <v>177.75</v>
      </c>
      <c r="R104" s="81">
        <v>162.80000000000001</v>
      </c>
      <c r="S104" s="173">
        <f>ROUND((R104*Q104/3600)*1.05,2)</f>
        <v>8.44</v>
      </c>
      <c r="T104" s="108">
        <f t="shared" si="60"/>
        <v>25.02</v>
      </c>
      <c r="U104" s="119">
        <f t="shared" si="43"/>
        <v>2100</v>
      </c>
      <c r="V104" s="109">
        <v>726.07189114400001</v>
      </c>
      <c r="W104" s="139">
        <f t="shared" si="89"/>
        <v>1.4521437822879999</v>
      </c>
      <c r="X104" s="120">
        <f t="shared" si="90"/>
        <v>13.27</v>
      </c>
      <c r="Y104" s="120">
        <f t="shared" si="91"/>
        <v>14.93</v>
      </c>
      <c r="Z104" s="109">
        <f t="shared" si="61"/>
        <v>54.68</v>
      </c>
      <c r="AA104" s="121">
        <v>679</v>
      </c>
    </row>
    <row r="105" spans="1:28" x14ac:dyDescent="0.3">
      <c r="A105" s="20">
        <v>45960</v>
      </c>
      <c r="B105" s="39" t="s">
        <v>182</v>
      </c>
      <c r="C105" s="39" t="s">
        <v>412</v>
      </c>
      <c r="D105" s="22" t="s">
        <v>183</v>
      </c>
      <c r="E105" s="24">
        <v>2</v>
      </c>
      <c r="F105" s="171">
        <v>2100</v>
      </c>
      <c r="G105" s="26">
        <f>196.5/G$1</f>
        <v>245.625</v>
      </c>
      <c r="H105" s="26">
        <f>165/H$1</f>
        <v>206.25</v>
      </c>
      <c r="I105" s="26">
        <f>39/I$1</f>
        <v>48.75</v>
      </c>
      <c r="J105" s="67">
        <f>140/J$1</f>
        <v>175</v>
      </c>
      <c r="K105" s="80">
        <v>0</v>
      </c>
      <c r="L105" s="79">
        <f>27*60*1.1/2</f>
        <v>891</v>
      </c>
      <c r="M105" s="80">
        <v>90</v>
      </c>
      <c r="N105" s="80">
        <f t="shared" si="59"/>
        <v>1656.625</v>
      </c>
      <c r="O105" s="81">
        <v>34.299999999999997</v>
      </c>
      <c r="P105" s="173">
        <f>ROUND((O105*N105/3600)*1.05,2)</f>
        <v>16.57</v>
      </c>
      <c r="Q105" s="80">
        <v>210.5</v>
      </c>
      <c r="R105" s="81">
        <v>162.80000000000001</v>
      </c>
      <c r="S105" s="173">
        <f>ROUND((R105*Q105/3600)*1.05,2)</f>
        <v>10</v>
      </c>
      <c r="T105" s="108">
        <f t="shared" si="60"/>
        <v>26.57</v>
      </c>
      <c r="U105" s="119">
        <f t="shared" si="43"/>
        <v>2100</v>
      </c>
      <c r="V105" s="109">
        <v>396.380681552</v>
      </c>
      <c r="W105" s="139">
        <f t="shared" si="89"/>
        <v>0.79276136310400003</v>
      </c>
      <c r="X105" s="120">
        <f t="shared" si="90"/>
        <v>13.26</v>
      </c>
      <c r="Y105" s="120">
        <f t="shared" si="91"/>
        <v>14.92</v>
      </c>
      <c r="Z105" s="109">
        <f t="shared" si="61"/>
        <v>55.55</v>
      </c>
      <c r="AA105" s="121">
        <v>881</v>
      </c>
    </row>
    <row r="106" spans="1:28" x14ac:dyDescent="0.3">
      <c r="A106" s="20">
        <v>45960</v>
      </c>
      <c r="B106" s="71" t="s">
        <v>30</v>
      </c>
      <c r="C106" s="71" t="s">
        <v>31</v>
      </c>
      <c r="D106" s="29" t="s">
        <v>32</v>
      </c>
      <c r="E106" s="24">
        <v>1</v>
      </c>
      <c r="F106" s="23">
        <v>6000</v>
      </c>
      <c r="G106" s="26">
        <f>850.93/G$1</f>
        <v>1063.6624999999999</v>
      </c>
      <c r="H106" s="26">
        <f>800.8/$G$1</f>
        <v>1001</v>
      </c>
      <c r="I106" s="26">
        <f>(23)/I$1</f>
        <v>28.75</v>
      </c>
      <c r="J106" s="26">
        <f>651/J$1</f>
        <v>813.75</v>
      </c>
      <c r="K106" s="80">
        <v>180</v>
      </c>
      <c r="L106" s="174">
        <f>42*1.1*60/2</f>
        <v>1386</v>
      </c>
      <c r="M106" s="80">
        <v>180</v>
      </c>
      <c r="N106" s="80">
        <f t="shared" si="59"/>
        <v>4653.1625000000004</v>
      </c>
      <c r="O106" s="109">
        <v>34.299999999999997</v>
      </c>
      <c r="P106" s="81">
        <f t="shared" si="87"/>
        <v>45.22</v>
      </c>
      <c r="Q106" s="179">
        <v>1324.18</v>
      </c>
      <c r="R106" s="109">
        <v>162.80000000000001</v>
      </c>
      <c r="S106" s="81">
        <f t="shared" si="88"/>
        <v>61.08</v>
      </c>
      <c r="T106" s="108">
        <f t="shared" si="60"/>
        <v>106.3</v>
      </c>
      <c r="U106" s="23">
        <f t="shared" si="43"/>
        <v>6000</v>
      </c>
      <c r="V106" s="183">
        <f>2869</f>
        <v>2869</v>
      </c>
      <c r="W106" s="139">
        <f t="shared" ref="W106:W111" si="92">V106*0.002</f>
        <v>5.7380000000000004</v>
      </c>
      <c r="X106" s="120">
        <f t="shared" ref="X106:X110" si="93">ROUNDUP(P106*0.6,2)</f>
        <v>27.14</v>
      </c>
      <c r="Y106" s="120">
        <f t="shared" ref="Y106:Y110" si="94">ROUNDUP(P106*0.6,2)</f>
        <v>27.14</v>
      </c>
      <c r="Z106" s="109">
        <f t="shared" si="61"/>
        <v>166.32</v>
      </c>
      <c r="AA106" s="121">
        <v>4454</v>
      </c>
    </row>
    <row r="107" spans="1:28" x14ac:dyDescent="0.3">
      <c r="A107" s="20">
        <v>45960</v>
      </c>
      <c r="B107" s="20" t="s">
        <v>239</v>
      </c>
      <c r="C107" s="56" t="s">
        <v>240</v>
      </c>
      <c r="D107" s="29" t="s">
        <v>241</v>
      </c>
      <c r="E107" s="24">
        <v>6</v>
      </c>
      <c r="F107" s="30">
        <v>7000</v>
      </c>
      <c r="G107" s="26">
        <f>45.8/G$1</f>
        <v>57.25</v>
      </c>
      <c r="H107" s="26">
        <f>70/0.95</f>
        <v>73.684210526315795</v>
      </c>
      <c r="I107" s="26">
        <f>(135+30)/I$1</f>
        <v>206.25</v>
      </c>
      <c r="J107" s="26">
        <f>132/J$1</f>
        <v>165</v>
      </c>
      <c r="K107" s="80">
        <v>0</v>
      </c>
      <c r="L107" s="79">
        <f>10*1.1*60/2</f>
        <v>330</v>
      </c>
      <c r="M107" s="80">
        <v>60</v>
      </c>
      <c r="N107" s="80">
        <f t="shared" si="59"/>
        <v>892.18421052631595</v>
      </c>
      <c r="O107" s="81">
        <v>34.299999999999997</v>
      </c>
      <c r="P107" s="81">
        <f t="shared" si="87"/>
        <v>8.67</v>
      </c>
      <c r="Q107" s="95">
        <v>74.266666666666694</v>
      </c>
      <c r="R107" s="26">
        <v>162.80000000000001</v>
      </c>
      <c r="S107" s="81">
        <f t="shared" si="88"/>
        <v>3.43</v>
      </c>
      <c r="T107" s="108">
        <f t="shared" si="60"/>
        <v>12.1</v>
      </c>
      <c r="U107" s="23">
        <f t="shared" si="43"/>
        <v>7000</v>
      </c>
      <c r="V107" s="183">
        <v>75.252657720000002</v>
      </c>
      <c r="W107" s="110">
        <f t="shared" si="92"/>
        <v>0.15050531544000001</v>
      </c>
      <c r="X107" s="120">
        <f t="shared" si="93"/>
        <v>5.21</v>
      </c>
      <c r="Y107" s="120">
        <f t="shared" si="94"/>
        <v>5.21</v>
      </c>
      <c r="Z107" s="145">
        <f t="shared" si="61"/>
        <v>22.68</v>
      </c>
      <c r="AA107" s="121">
        <v>143</v>
      </c>
    </row>
    <row r="108" spans="1:28" x14ac:dyDescent="0.3">
      <c r="A108" s="20">
        <v>45960</v>
      </c>
      <c r="B108" s="20" t="s">
        <v>242</v>
      </c>
      <c r="C108" s="32" t="s">
        <v>243</v>
      </c>
      <c r="D108" s="29" t="s">
        <v>244</v>
      </c>
      <c r="E108" s="24">
        <v>4</v>
      </c>
      <c r="F108" s="23">
        <v>5000</v>
      </c>
      <c r="G108" s="26">
        <f>65/G$1</f>
        <v>81.25</v>
      </c>
      <c r="H108" s="26">
        <f t="shared" ref="H108:H110" si="95">0/$G$1</f>
        <v>0</v>
      </c>
      <c r="I108" s="26">
        <f>(25)/I$1</f>
        <v>31.25</v>
      </c>
      <c r="J108" s="26">
        <f>90/J$1</f>
        <v>112.5</v>
      </c>
      <c r="K108" s="80">
        <v>0</v>
      </c>
      <c r="L108" s="79">
        <f>15*1.1*60/2</f>
        <v>495</v>
      </c>
      <c r="M108" s="80">
        <v>90</v>
      </c>
      <c r="N108" s="80">
        <f t="shared" si="59"/>
        <v>810</v>
      </c>
      <c r="O108" s="81">
        <v>34.299999999999997</v>
      </c>
      <c r="P108" s="81">
        <f t="shared" si="87"/>
        <v>7.87</v>
      </c>
      <c r="Q108" s="80">
        <v>81.25</v>
      </c>
      <c r="R108" s="81">
        <v>162.80000000000001</v>
      </c>
      <c r="S108" s="81">
        <f t="shared" si="88"/>
        <v>3.75</v>
      </c>
      <c r="T108" s="108">
        <f t="shared" si="60"/>
        <v>11.62</v>
      </c>
      <c r="U108" s="23">
        <f t="shared" si="43"/>
        <v>5000</v>
      </c>
      <c r="V108" s="114">
        <v>116.7827762</v>
      </c>
      <c r="W108" s="110">
        <f t="shared" si="92"/>
        <v>0.23356555239999999</v>
      </c>
      <c r="X108" s="112">
        <f>ROUNDUP(P108*0.8,2)</f>
        <v>6.3</v>
      </c>
      <c r="Y108" s="112">
        <f>ROUNDUP(P108*0.9,2)</f>
        <v>7.09</v>
      </c>
      <c r="Z108" s="109">
        <f t="shared" si="61"/>
        <v>25.25</v>
      </c>
      <c r="AA108" s="121"/>
    </row>
    <row r="109" spans="1:28" x14ac:dyDescent="0.3">
      <c r="A109" s="20">
        <v>45960</v>
      </c>
      <c r="B109" s="20" t="s">
        <v>283</v>
      </c>
      <c r="C109" s="71" t="s">
        <v>284</v>
      </c>
      <c r="D109" s="66" t="s">
        <v>285</v>
      </c>
      <c r="E109" s="64">
        <v>2</v>
      </c>
      <c r="F109" s="23">
        <v>13000</v>
      </c>
      <c r="G109" s="26">
        <f>357.5/G$1</f>
        <v>446.875</v>
      </c>
      <c r="H109" s="67">
        <f t="shared" si="95"/>
        <v>0</v>
      </c>
      <c r="I109" s="67">
        <f>(37)/I$1</f>
        <v>46.25</v>
      </c>
      <c r="J109" s="67">
        <f>345/J$1</f>
        <v>431.25</v>
      </c>
      <c r="K109" s="80">
        <v>0</v>
      </c>
      <c r="L109" s="96">
        <f>18*1.1*60/2</f>
        <v>594</v>
      </c>
      <c r="M109" s="80">
        <v>60</v>
      </c>
      <c r="N109" s="80">
        <f t="shared" si="59"/>
        <v>1578.375</v>
      </c>
      <c r="O109" s="81">
        <v>34.299999999999997</v>
      </c>
      <c r="P109" s="81">
        <f t="shared" si="87"/>
        <v>15.34</v>
      </c>
      <c r="Q109" s="129">
        <v>336.5</v>
      </c>
      <c r="R109" s="81">
        <v>162.80000000000001</v>
      </c>
      <c r="S109" s="81">
        <f t="shared" si="88"/>
        <v>15.52</v>
      </c>
      <c r="T109" s="108">
        <f t="shared" si="60"/>
        <v>30.86</v>
      </c>
      <c r="U109" s="23">
        <f t="shared" si="43"/>
        <v>13000</v>
      </c>
      <c r="V109" s="137">
        <v>658.50076458285696</v>
      </c>
      <c r="W109" s="110">
        <f t="shared" si="92"/>
        <v>1.31700152916571</v>
      </c>
      <c r="X109" s="136">
        <f t="shared" si="93"/>
        <v>9.2100000000000009</v>
      </c>
      <c r="Y109" s="136">
        <f t="shared" si="94"/>
        <v>9.2100000000000009</v>
      </c>
      <c r="Z109" s="109">
        <f t="shared" si="61"/>
        <v>50.6</v>
      </c>
      <c r="AA109" s="121">
        <v>1397</v>
      </c>
    </row>
    <row r="110" spans="1:28" x14ac:dyDescent="0.3">
      <c r="A110" s="20">
        <v>45960</v>
      </c>
      <c r="B110" s="70" t="s">
        <v>286</v>
      </c>
      <c r="C110" s="68" t="s">
        <v>287</v>
      </c>
      <c r="D110" s="66" t="s">
        <v>288</v>
      </c>
      <c r="E110" s="64">
        <v>2</v>
      </c>
      <c r="F110" s="23">
        <v>13000</v>
      </c>
      <c r="G110" s="26">
        <f>210/G$1</f>
        <v>262.5</v>
      </c>
      <c r="H110" s="26">
        <f t="shared" si="95"/>
        <v>0</v>
      </c>
      <c r="I110" s="26">
        <f>(48)/I$1</f>
        <v>60</v>
      </c>
      <c r="J110" s="26">
        <f>120/J$1</f>
        <v>150</v>
      </c>
      <c r="K110" s="80">
        <v>0</v>
      </c>
      <c r="L110" s="175">
        <f>13*1.1*60/2</f>
        <v>429</v>
      </c>
      <c r="M110" s="80">
        <v>60</v>
      </c>
      <c r="N110" s="80">
        <f t="shared" si="59"/>
        <v>961.5</v>
      </c>
      <c r="O110" s="81">
        <v>34.299999999999997</v>
      </c>
      <c r="P110" s="81">
        <f t="shared" si="87"/>
        <v>9.34</v>
      </c>
      <c r="Q110" s="129">
        <v>232.5</v>
      </c>
      <c r="R110" s="81">
        <v>162.80000000000001</v>
      </c>
      <c r="S110" s="81">
        <f t="shared" si="88"/>
        <v>10.72</v>
      </c>
      <c r="T110" s="108">
        <f t="shared" si="60"/>
        <v>20.059999999999999</v>
      </c>
      <c r="U110" s="23">
        <f t="shared" si="43"/>
        <v>13000</v>
      </c>
      <c r="V110" s="137">
        <v>205.13314320000001</v>
      </c>
      <c r="W110" s="110">
        <f t="shared" si="92"/>
        <v>0.41026628640000001</v>
      </c>
      <c r="X110" s="136">
        <f t="shared" si="93"/>
        <v>5.61</v>
      </c>
      <c r="Y110" s="136">
        <f t="shared" si="94"/>
        <v>5.61</v>
      </c>
      <c r="Z110" s="109">
        <f t="shared" si="61"/>
        <v>31.7</v>
      </c>
      <c r="AA110" s="121">
        <v>501</v>
      </c>
    </row>
    <row r="111" spans="1:28" x14ac:dyDescent="0.3">
      <c r="A111" s="20">
        <v>45960</v>
      </c>
      <c r="B111" s="172" t="s">
        <v>97</v>
      </c>
      <c r="C111" s="22" t="s">
        <v>98</v>
      </c>
      <c r="D111" s="66" t="s">
        <v>99</v>
      </c>
      <c r="E111" s="64">
        <v>1</v>
      </c>
      <c r="F111" s="23">
        <v>1500</v>
      </c>
      <c r="G111" s="26">
        <f>441/G$1</f>
        <v>551.25</v>
      </c>
      <c r="H111" s="26">
        <f>840/0.8</f>
        <v>1050</v>
      </c>
      <c r="I111" s="26">
        <f>0/I$1</f>
        <v>0</v>
      </c>
      <c r="J111" s="67">
        <f>360/J$1</f>
        <v>450</v>
      </c>
      <c r="K111" s="79">
        <v>86</v>
      </c>
      <c r="L111" s="79">
        <f>40*60*1.1/2</f>
        <v>1320</v>
      </c>
      <c r="M111" s="80">
        <v>90</v>
      </c>
      <c r="N111" s="80">
        <f t="shared" si="59"/>
        <v>3547.25</v>
      </c>
      <c r="O111" s="81">
        <v>34.299999999999997</v>
      </c>
      <c r="P111" s="81">
        <f t="shared" si="87"/>
        <v>34.47</v>
      </c>
      <c r="Q111" s="177">
        <v>710.5</v>
      </c>
      <c r="R111" s="81">
        <v>162.80000000000001</v>
      </c>
      <c r="S111" s="81">
        <f t="shared" si="88"/>
        <v>32.770000000000003</v>
      </c>
      <c r="T111" s="108">
        <f t="shared" si="60"/>
        <v>67.239999999999995</v>
      </c>
      <c r="U111" s="23">
        <f t="shared" si="43"/>
        <v>1500</v>
      </c>
      <c r="V111" s="184">
        <v>470.20496323999998</v>
      </c>
      <c r="W111" s="136">
        <f t="shared" si="92"/>
        <v>0.94040992647999999</v>
      </c>
      <c r="X111" s="136">
        <f>ROUNDUP(P111*0.8,2)</f>
        <v>27.58</v>
      </c>
      <c r="Y111" s="136">
        <f>ROUNDUP(P111*0.9,2)</f>
        <v>31.03</v>
      </c>
      <c r="Z111" s="109">
        <f t="shared" si="61"/>
        <v>126.8</v>
      </c>
      <c r="AA111" s="161">
        <v>2858</v>
      </c>
    </row>
    <row r="1341" spans="16:16" x14ac:dyDescent="0.3">
      <c r="P1341" s="188"/>
    </row>
    <row r="1342" spans="16:16" x14ac:dyDescent="0.3">
      <c r="P1342" s="188"/>
    </row>
  </sheetData>
  <autoFilter ref="A2:AC111" xr:uid="{00000000-0009-0000-0000-000001000000}"/>
  <mergeCells count="1">
    <mergeCell ref="K1:M1"/>
  </mergeCells>
  <phoneticPr fontId="43" type="noConversion"/>
  <conditionalFormatting sqref="A2">
    <cfRule type="expression" dxfId="455" priority="214">
      <formula>$A2&lt;&gt;""</formula>
    </cfRule>
  </conditionalFormatting>
  <conditionalFormatting sqref="B2">
    <cfRule type="expression" dxfId="454" priority="213">
      <formula>$A2&lt;&gt;""</formula>
    </cfRule>
  </conditionalFormatting>
  <conditionalFormatting sqref="W3">
    <cfRule type="expression" dxfId="453" priority="430">
      <formula>$B3&lt;&gt;""</formula>
    </cfRule>
  </conditionalFormatting>
  <conditionalFormatting sqref="AA3">
    <cfRule type="expression" dxfId="452" priority="427">
      <formula>#REF!&lt;&gt;""</formula>
    </cfRule>
  </conditionalFormatting>
  <conditionalFormatting sqref="E4">
    <cfRule type="expression" dxfId="451" priority="432">
      <formula>#REF!&lt;&gt;""</formula>
    </cfRule>
  </conditionalFormatting>
  <conditionalFormatting sqref="H4">
    <cfRule type="expression" dxfId="450" priority="431">
      <formula>$B4&lt;&gt;""</formula>
    </cfRule>
  </conditionalFormatting>
  <conditionalFormatting sqref="W4">
    <cfRule type="expression" dxfId="449" priority="429">
      <formula>$B4&lt;&gt;""</formula>
    </cfRule>
  </conditionalFormatting>
  <conditionalFormatting sqref="AA4">
    <cfRule type="expression" dxfId="448" priority="433">
      <formula>#REF!&lt;&gt;""</formula>
    </cfRule>
  </conditionalFormatting>
  <conditionalFormatting sqref="D5">
    <cfRule type="expression" dxfId="447" priority="435">
      <formula>#REF!&lt;&gt;""</formula>
    </cfRule>
  </conditionalFormatting>
  <conditionalFormatting sqref="W5">
    <cfRule type="expression" dxfId="446" priority="428">
      <formula>$B5&lt;&gt;""</formula>
    </cfRule>
  </conditionalFormatting>
  <conditionalFormatting sqref="B6">
    <cfRule type="expression" dxfId="445" priority="425">
      <formula>$B761&lt;&gt;""</formula>
    </cfRule>
    <cfRule type="expression" dxfId="444" priority="424">
      <formula>#REF!&lt;&gt;""</formula>
    </cfRule>
    <cfRule type="expression" dxfId="443" priority="423">
      <formula>$E6&lt;&gt;""</formula>
    </cfRule>
    <cfRule type="duplicateValues" dxfId="442" priority="422"/>
  </conditionalFormatting>
  <conditionalFormatting sqref="C6">
    <cfRule type="expression" dxfId="441" priority="426">
      <formula>#REF!&lt;&gt;""</formula>
    </cfRule>
  </conditionalFormatting>
  <conditionalFormatting sqref="D6">
    <cfRule type="expression" dxfId="440" priority="230">
      <formula>$B742&lt;&gt;""</formula>
    </cfRule>
    <cfRule type="expression" dxfId="439" priority="229">
      <formula>$B6&lt;&gt;""</formula>
    </cfRule>
    <cfRule type="expression" dxfId="438" priority="228">
      <formula>$D6&lt;&gt;""</formula>
    </cfRule>
  </conditionalFormatting>
  <conditionalFormatting sqref="B7">
    <cfRule type="expression" dxfId="437" priority="445">
      <formula>$B617&lt;&gt;""</formula>
    </cfRule>
    <cfRule type="expression" dxfId="436" priority="444">
      <formula>$B7&lt;&gt;""</formula>
    </cfRule>
  </conditionalFormatting>
  <conditionalFormatting sqref="C7">
    <cfRule type="expression" dxfId="435" priority="420">
      <formula>#REF!&lt;&gt;""</formula>
    </cfRule>
  </conditionalFormatting>
  <conditionalFormatting sqref="D7">
    <cfRule type="expression" dxfId="434" priority="421">
      <formula>#REF!&lt;&gt;""</formula>
    </cfRule>
  </conditionalFormatting>
  <conditionalFormatting sqref="B8">
    <cfRule type="expression" dxfId="433" priority="443">
      <formula>$B619&lt;&gt;""</formula>
    </cfRule>
    <cfRule type="expression" dxfId="432" priority="442">
      <formula>$B8&lt;&gt;""</formula>
    </cfRule>
  </conditionalFormatting>
  <conditionalFormatting sqref="C8">
    <cfRule type="expression" dxfId="431" priority="419">
      <formula>#REF!&lt;&gt;""</formula>
    </cfRule>
  </conditionalFormatting>
  <conditionalFormatting sqref="D8">
    <cfRule type="expression" dxfId="430" priority="227">
      <formula>#REF!&lt;&gt;""</formula>
    </cfRule>
  </conditionalFormatting>
  <conditionalFormatting sqref="B9">
    <cfRule type="expression" dxfId="429" priority="408">
      <formula>$B619&lt;&gt;""</formula>
    </cfRule>
    <cfRule type="expression" dxfId="428" priority="407">
      <formula>$B9&lt;&gt;""</formula>
    </cfRule>
  </conditionalFormatting>
  <conditionalFormatting sqref="C9">
    <cfRule type="expression" dxfId="427" priority="410">
      <formula>$B9&lt;&gt;""</formula>
    </cfRule>
  </conditionalFormatting>
  <conditionalFormatting sqref="B10">
    <cfRule type="expression" dxfId="426" priority="441">
      <formula>$B618&lt;&gt;""</formula>
    </cfRule>
    <cfRule type="expression" dxfId="425" priority="440">
      <formula>$B10&lt;&gt;""</formula>
    </cfRule>
  </conditionalFormatting>
  <conditionalFormatting sqref="C10">
    <cfRule type="expression" dxfId="424" priority="415">
      <formula>#REF!&lt;&gt;""</formula>
    </cfRule>
  </conditionalFormatting>
  <conditionalFormatting sqref="D10">
    <cfRule type="expression" dxfId="423" priority="418">
      <formula>#REF!&lt;&gt;""</formula>
    </cfRule>
  </conditionalFormatting>
  <conditionalFormatting sqref="B11">
    <cfRule type="expression" dxfId="422" priority="447">
      <formula>$B620&lt;&gt;""</formula>
    </cfRule>
    <cfRule type="expression" dxfId="421" priority="446">
      <formula>$B11&lt;&gt;""</formula>
    </cfRule>
  </conditionalFormatting>
  <conditionalFormatting sqref="C11">
    <cfRule type="expression" dxfId="420" priority="414">
      <formula>#REF!&lt;&gt;""</formula>
    </cfRule>
  </conditionalFormatting>
  <conditionalFormatting sqref="D11">
    <cfRule type="expression" dxfId="419" priority="417">
      <formula>#REF!&lt;&gt;""</formula>
    </cfRule>
  </conditionalFormatting>
  <conditionalFormatting sqref="B12">
    <cfRule type="expression" dxfId="418" priority="449">
      <formula>$B621&lt;&gt;""</formula>
    </cfRule>
    <cfRule type="expression" dxfId="417" priority="448">
      <formula>$B12&lt;&gt;""</formula>
    </cfRule>
  </conditionalFormatting>
  <conditionalFormatting sqref="C12">
    <cfRule type="expression" dxfId="416" priority="413">
      <formula>#REF!&lt;&gt;""</formula>
    </cfRule>
  </conditionalFormatting>
  <conditionalFormatting sqref="D12">
    <cfRule type="expression" dxfId="415" priority="416">
      <formula>#REF!&lt;&gt;""</formula>
    </cfRule>
  </conditionalFormatting>
  <conditionalFormatting sqref="B13">
    <cfRule type="expression" dxfId="414" priority="403">
      <formula>$B13&lt;&gt;""</formula>
    </cfRule>
  </conditionalFormatting>
  <conditionalFormatting sqref="L13">
    <cfRule type="expression" dxfId="413" priority="404">
      <formula>$B13&lt;&gt;""</formula>
    </cfRule>
  </conditionalFormatting>
  <conditionalFormatting sqref="W13:X13">
    <cfRule type="expression" dxfId="412" priority="405">
      <formula>$B13&lt;&gt;""</formula>
    </cfRule>
  </conditionalFormatting>
  <conditionalFormatting sqref="B14">
    <cfRule type="expression" dxfId="411" priority="401">
      <formula>$B14&lt;&gt;""</formula>
    </cfRule>
  </conditionalFormatting>
  <conditionalFormatting sqref="C14">
    <cfRule type="expression" dxfId="410" priority="400">
      <formula>#REF!&lt;&gt;""</formula>
    </cfRule>
  </conditionalFormatting>
  <conditionalFormatting sqref="D14">
    <cfRule type="expression" dxfId="409" priority="226">
      <formula>$D14&lt;&gt;""</formula>
    </cfRule>
    <cfRule type="expression" dxfId="408" priority="225">
      <formula>$B737&lt;&gt;""</formula>
    </cfRule>
    <cfRule type="expression" dxfId="407" priority="224">
      <formula>$B14&lt;&gt;""</formula>
    </cfRule>
  </conditionalFormatting>
  <conditionalFormatting sqref="C15">
    <cfRule type="expression" dxfId="406" priority="267">
      <formula>$B15&lt;&gt;""</formula>
    </cfRule>
  </conditionalFormatting>
  <conditionalFormatting sqref="E15:F15">
    <cfRule type="expression" dxfId="405" priority="271">
      <formula>#REF!&lt;&gt;""</formula>
    </cfRule>
  </conditionalFormatting>
  <conditionalFormatting sqref="L15">
    <cfRule type="expression" dxfId="404" priority="266">
      <formula>$B15&lt;&gt;""</formula>
    </cfRule>
  </conditionalFormatting>
  <conditionalFormatting sqref="C16">
    <cfRule type="expression" dxfId="403" priority="260">
      <formula>$B16&lt;&gt;""</formula>
    </cfRule>
  </conditionalFormatting>
  <conditionalFormatting sqref="E16:F16">
    <cfRule type="expression" dxfId="402" priority="265">
      <formula>#REF!&lt;&gt;""</formula>
    </cfRule>
  </conditionalFormatting>
  <conditionalFormatting sqref="L16">
    <cfRule type="expression" dxfId="401" priority="261">
      <formula>$B16&lt;&gt;""</formula>
    </cfRule>
  </conditionalFormatting>
  <conditionalFormatting sqref="C17">
    <cfRule type="expression" dxfId="400" priority="254">
      <formula>$B17&lt;&gt;""</formula>
    </cfRule>
  </conditionalFormatting>
  <conditionalFormatting sqref="D17">
    <cfRule type="expression" dxfId="399" priority="217">
      <formula>$B773&lt;&gt;""</formula>
    </cfRule>
    <cfRule type="expression" dxfId="398" priority="216">
      <formula>$B17&lt;&gt;""</formula>
    </cfRule>
    <cfRule type="expression" dxfId="397" priority="215">
      <formula>$D17&lt;&gt;""</formula>
    </cfRule>
  </conditionalFormatting>
  <conditionalFormatting sqref="E17:F17">
    <cfRule type="expression" dxfId="396" priority="259">
      <formula>#REF!&lt;&gt;""</formula>
    </cfRule>
  </conditionalFormatting>
  <conditionalFormatting sqref="L17">
    <cfRule type="expression" dxfId="395" priority="255">
      <formula>$B17&lt;&gt;""</formula>
    </cfRule>
  </conditionalFormatting>
  <conditionalFormatting sqref="B18">
    <cfRule type="expression" dxfId="394" priority="387">
      <formula>$B18&lt;&gt;""</formula>
    </cfRule>
  </conditionalFormatting>
  <conditionalFormatting sqref="C18">
    <cfRule type="expression" dxfId="393" priority="389">
      <formula>$B18&lt;&gt;""</formula>
    </cfRule>
  </conditionalFormatting>
  <conditionalFormatting sqref="D18">
    <cfRule type="expression" dxfId="392" priority="388">
      <formula>$B18&lt;&gt;""</formula>
    </cfRule>
  </conditionalFormatting>
  <conditionalFormatting sqref="F18">
    <cfRule type="expression" dxfId="391" priority="398">
      <formula>$B18&lt;&gt;""</formula>
    </cfRule>
  </conditionalFormatting>
  <conditionalFormatting sqref="G18">
    <cfRule type="expression" dxfId="390" priority="397">
      <formula>#REF!&lt;&gt;""</formula>
    </cfRule>
  </conditionalFormatting>
  <conditionalFormatting sqref="H18">
    <cfRule type="expression" dxfId="389" priority="395">
      <formula>#REF!&lt;&gt;""</formula>
    </cfRule>
  </conditionalFormatting>
  <conditionalFormatting sqref="I18">
    <cfRule type="expression" dxfId="388" priority="396">
      <formula>#REF!&lt;&gt;""</formula>
    </cfRule>
  </conditionalFormatting>
  <conditionalFormatting sqref="J18">
    <cfRule type="expression" dxfId="387" priority="393">
      <formula>#REF!&lt;&gt;""</formula>
    </cfRule>
  </conditionalFormatting>
  <conditionalFormatting sqref="K18">
    <cfRule type="expression" dxfId="386" priority="394">
      <formula>#REF!&lt;&gt;""</formula>
    </cfRule>
  </conditionalFormatting>
  <conditionalFormatting sqref="L18">
    <cfRule type="expression" dxfId="385" priority="390">
      <formula>#REF!&lt;&gt;""</formula>
    </cfRule>
  </conditionalFormatting>
  <conditionalFormatting sqref="M18">
    <cfRule type="expression" dxfId="384" priority="391">
      <formula>#REF!&lt;&gt;""</formula>
    </cfRule>
  </conditionalFormatting>
  <conditionalFormatting sqref="N18">
    <cfRule type="expression" dxfId="383" priority="392">
      <formula>#REF!&lt;&gt;""</formula>
    </cfRule>
  </conditionalFormatting>
  <conditionalFormatting sqref="AA19">
    <cfRule type="expression" dxfId="382" priority="383">
      <formula>#REF!&lt;&gt;""</formula>
    </cfRule>
  </conditionalFormatting>
  <conditionalFormatting sqref="C22">
    <cfRule type="expression" dxfId="381" priority="350">
      <formula>$B22&lt;&gt;""</formula>
    </cfRule>
  </conditionalFormatting>
  <conditionalFormatting sqref="D22">
    <cfRule type="expression" dxfId="380" priority="347">
      <formula>$B22&lt;&gt;""</formula>
    </cfRule>
  </conditionalFormatting>
  <conditionalFormatting sqref="F22">
    <cfRule type="expression" dxfId="379" priority="377">
      <formula>$B22&lt;&gt;""</formula>
    </cfRule>
  </conditionalFormatting>
  <conditionalFormatting sqref="G22">
    <cfRule type="expression" dxfId="378" priority="374">
      <formula>#REF!&lt;&gt;""</formula>
    </cfRule>
  </conditionalFormatting>
  <conditionalFormatting sqref="H22">
    <cfRule type="expression" dxfId="377" priority="368">
      <formula>#REF!&lt;&gt;""</formula>
    </cfRule>
  </conditionalFormatting>
  <conditionalFormatting sqref="I22">
    <cfRule type="expression" dxfId="376" priority="371">
      <formula>#REF!&lt;&gt;""</formula>
    </cfRule>
  </conditionalFormatting>
  <conditionalFormatting sqref="J22">
    <cfRule type="expression" dxfId="375" priority="362">
      <formula>#REF!&lt;&gt;""</formula>
    </cfRule>
  </conditionalFormatting>
  <conditionalFormatting sqref="K22">
    <cfRule type="expression" dxfId="374" priority="365">
      <formula>#REF!&lt;&gt;""</formula>
    </cfRule>
  </conditionalFormatting>
  <conditionalFormatting sqref="L22">
    <cfRule type="expression" dxfId="373" priority="353">
      <formula>#REF!&lt;&gt;""</formula>
    </cfRule>
  </conditionalFormatting>
  <conditionalFormatting sqref="M22">
    <cfRule type="expression" dxfId="372" priority="356">
      <formula>#REF!&lt;&gt;""</formula>
    </cfRule>
  </conditionalFormatting>
  <conditionalFormatting sqref="N22">
    <cfRule type="expression" dxfId="371" priority="359">
      <formula>#REF!&lt;&gt;""</formula>
    </cfRule>
  </conditionalFormatting>
  <conditionalFormatting sqref="C23">
    <cfRule type="expression" dxfId="370" priority="348">
      <formula>$B23&lt;&gt;""</formula>
    </cfRule>
  </conditionalFormatting>
  <conditionalFormatting sqref="D23">
    <cfRule type="expression" dxfId="369" priority="345">
      <formula>$B23&lt;&gt;""</formula>
    </cfRule>
  </conditionalFormatting>
  <conditionalFormatting sqref="F23">
    <cfRule type="expression" dxfId="368" priority="375">
      <formula>$B23&lt;&gt;""</formula>
    </cfRule>
  </conditionalFormatting>
  <conditionalFormatting sqref="G23">
    <cfRule type="expression" dxfId="367" priority="372">
      <formula>#REF!&lt;&gt;""</formula>
    </cfRule>
  </conditionalFormatting>
  <conditionalFormatting sqref="H23">
    <cfRule type="expression" dxfId="366" priority="366">
      <formula>#REF!&lt;&gt;""</formula>
    </cfRule>
  </conditionalFormatting>
  <conditionalFormatting sqref="I23">
    <cfRule type="expression" dxfId="365" priority="369">
      <formula>#REF!&lt;&gt;""</formula>
    </cfRule>
  </conditionalFormatting>
  <conditionalFormatting sqref="J23">
    <cfRule type="expression" dxfId="364" priority="360">
      <formula>#REF!&lt;&gt;""</formula>
    </cfRule>
  </conditionalFormatting>
  <conditionalFormatting sqref="K23">
    <cfRule type="expression" dxfId="363" priority="363">
      <formula>#REF!&lt;&gt;""</formula>
    </cfRule>
  </conditionalFormatting>
  <conditionalFormatting sqref="L23">
    <cfRule type="expression" dxfId="362" priority="351">
      <formula>#REF!&lt;&gt;""</formula>
    </cfRule>
  </conditionalFormatting>
  <conditionalFormatting sqref="M23">
    <cfRule type="expression" dxfId="361" priority="354">
      <formula>#REF!&lt;&gt;""</formula>
    </cfRule>
  </conditionalFormatting>
  <conditionalFormatting sqref="N23">
    <cfRule type="expression" dxfId="360" priority="357">
      <formula>#REF!&lt;&gt;""</formula>
    </cfRule>
  </conditionalFormatting>
  <conditionalFormatting sqref="C24">
    <cfRule type="expression" dxfId="359" priority="349">
      <formula>$B24&lt;&gt;""</formula>
    </cfRule>
  </conditionalFormatting>
  <conditionalFormatting sqref="D24">
    <cfRule type="expression" dxfId="358" priority="346">
      <formula>$B24&lt;&gt;""</formula>
    </cfRule>
  </conditionalFormatting>
  <conditionalFormatting sqref="F24">
    <cfRule type="expression" dxfId="357" priority="376">
      <formula>$B24&lt;&gt;""</formula>
    </cfRule>
  </conditionalFormatting>
  <conditionalFormatting sqref="G24">
    <cfRule type="expression" dxfId="356" priority="373">
      <formula>#REF!&lt;&gt;""</formula>
    </cfRule>
  </conditionalFormatting>
  <conditionalFormatting sqref="H24">
    <cfRule type="expression" dxfId="355" priority="367">
      <formula>#REF!&lt;&gt;""</formula>
    </cfRule>
  </conditionalFormatting>
  <conditionalFormatting sqref="I24">
    <cfRule type="expression" dxfId="354" priority="370">
      <formula>#REF!&lt;&gt;""</formula>
    </cfRule>
  </conditionalFormatting>
  <conditionalFormatting sqref="J24">
    <cfRule type="expression" dxfId="353" priority="361">
      <formula>#REF!&lt;&gt;""</formula>
    </cfRule>
  </conditionalFormatting>
  <conditionalFormatting sqref="K24">
    <cfRule type="expression" dxfId="352" priority="364">
      <formula>#REF!&lt;&gt;""</formula>
    </cfRule>
  </conditionalFormatting>
  <conditionalFormatting sqref="L24">
    <cfRule type="expression" dxfId="351" priority="352">
      <formula>#REF!&lt;&gt;""</formula>
    </cfRule>
  </conditionalFormatting>
  <conditionalFormatting sqref="M24">
    <cfRule type="expression" dxfId="350" priority="355">
      <formula>#REF!&lt;&gt;""</formula>
    </cfRule>
  </conditionalFormatting>
  <conditionalFormatting sqref="N24">
    <cfRule type="expression" dxfId="349" priority="358">
      <formula>#REF!&lt;&gt;""</formula>
    </cfRule>
  </conditionalFormatting>
  <conditionalFormatting sqref="B25">
    <cfRule type="expression" dxfId="348" priority="342">
      <formula>$B614&lt;&gt;""</formula>
    </cfRule>
    <cfRule type="expression" dxfId="347" priority="341">
      <formula>$B25&lt;&gt;""</formula>
    </cfRule>
  </conditionalFormatting>
  <conditionalFormatting sqref="D25">
    <cfRule type="expression" dxfId="346" priority="343">
      <formula>#REF!&lt;&gt;""</formula>
    </cfRule>
  </conditionalFormatting>
  <conditionalFormatting sqref="D26:F26">
    <cfRule type="expression" dxfId="345" priority="338">
      <formula>#REF!&lt;&gt;""</formula>
    </cfRule>
  </conditionalFormatting>
  <conditionalFormatting sqref="V26">
    <cfRule type="expression" dxfId="344" priority="336">
      <formula>$B26&lt;&gt;""</formula>
    </cfRule>
  </conditionalFormatting>
  <conditionalFormatting sqref="AA26">
    <cfRule type="expression" dxfId="343" priority="339">
      <formula>#REF!&lt;&gt;""</formula>
    </cfRule>
  </conditionalFormatting>
  <conditionalFormatting sqref="D27">
    <cfRule type="expression" dxfId="342" priority="332">
      <formula>#REF!&lt;&gt;""</formula>
    </cfRule>
  </conditionalFormatting>
  <conditionalFormatting sqref="E27:F27">
    <cfRule type="expression" dxfId="341" priority="335">
      <formula>#REF!&lt;&gt;""</formula>
    </cfRule>
  </conditionalFormatting>
  <conditionalFormatting sqref="V27">
    <cfRule type="expression" dxfId="340" priority="333">
      <formula>$B27&lt;&gt;""</formula>
    </cfRule>
  </conditionalFormatting>
  <conditionalFormatting sqref="Z27">
    <cfRule type="expression" dxfId="339" priority="330">
      <formula>$B27&lt;&gt;""</formula>
    </cfRule>
  </conditionalFormatting>
  <conditionalFormatting sqref="AA27">
    <cfRule type="expression" dxfId="338" priority="329">
      <formula>#REF!&lt;&gt;""</formula>
    </cfRule>
  </conditionalFormatting>
  <conditionalFormatting sqref="B28">
    <cfRule type="expression" dxfId="337" priority="324">
      <formula>$B28&lt;&gt;""</formula>
    </cfRule>
  </conditionalFormatting>
  <conditionalFormatting sqref="D28">
    <cfRule type="expression" dxfId="336" priority="325">
      <formula>$B28&lt;&gt;""</formula>
    </cfRule>
  </conditionalFormatting>
  <conditionalFormatting sqref="B29">
    <cfRule type="expression" dxfId="335" priority="320">
      <formula>$B29&lt;&gt;""</formula>
    </cfRule>
  </conditionalFormatting>
  <conditionalFormatting sqref="E29">
    <cfRule type="expression" dxfId="334" priority="321">
      <formula>#REF!&lt;&gt;""</formula>
    </cfRule>
  </conditionalFormatting>
  <conditionalFormatting sqref="AA29">
    <cfRule type="expression" dxfId="333" priority="322">
      <formula>#REF!&lt;&gt;""</formula>
    </cfRule>
  </conditionalFormatting>
  <conditionalFormatting sqref="B32">
    <cfRule type="expression" dxfId="332" priority="314">
      <formula>$B620&lt;&gt;""</formula>
    </cfRule>
    <cfRule type="expression" dxfId="331" priority="313">
      <formula>$B32&lt;&gt;""</formula>
    </cfRule>
  </conditionalFormatting>
  <conditionalFormatting sqref="C32">
    <cfRule type="expression" dxfId="330" priority="315">
      <formula>#REF!&lt;&gt;""</formula>
    </cfRule>
  </conditionalFormatting>
  <conditionalFormatting sqref="D32">
    <cfRule type="expression" dxfId="329" priority="223">
      <formula>$B788&lt;&gt;""</formula>
    </cfRule>
    <cfRule type="expression" dxfId="328" priority="222">
      <formula>$B32&lt;&gt;""</formula>
    </cfRule>
    <cfRule type="expression" dxfId="327" priority="221">
      <formula>$D32&lt;&gt;""</formula>
    </cfRule>
  </conditionalFormatting>
  <conditionalFormatting sqref="D35">
    <cfRule type="expression" dxfId="326" priority="311">
      <formula>#REF!&lt;&gt;""</formula>
    </cfRule>
  </conditionalFormatting>
  <conditionalFormatting sqref="B37">
    <cfRule type="expression" dxfId="325" priority="306">
      <formula>$B37&lt;&gt;""</formula>
    </cfRule>
  </conditionalFormatting>
  <conditionalFormatting sqref="C37:D37">
    <cfRule type="expression" dxfId="324" priority="308">
      <formula>$B37&lt;&gt;""</formula>
    </cfRule>
  </conditionalFormatting>
  <conditionalFormatting sqref="E37">
    <cfRule type="expression" dxfId="323" priority="307">
      <formula>#REF!&lt;&gt;""</formula>
    </cfRule>
  </conditionalFormatting>
  <conditionalFormatting sqref="AA37">
    <cfRule type="expression" dxfId="322" priority="309">
      <formula>#REF!&lt;&gt;""</formula>
    </cfRule>
  </conditionalFormatting>
  <conditionalFormatting sqref="B38">
    <cfRule type="expression" dxfId="321" priority="305">
      <formula>$B609&lt;&gt;""</formula>
    </cfRule>
    <cfRule type="expression" dxfId="320" priority="304">
      <formula>$B38&lt;&gt;""</formula>
    </cfRule>
  </conditionalFormatting>
  <conditionalFormatting sqref="D38">
    <cfRule type="expression" dxfId="319" priority="303">
      <formula>#REF!&lt;&gt;""</formula>
    </cfRule>
  </conditionalFormatting>
  <conditionalFormatting sqref="B39">
    <cfRule type="expression" dxfId="318" priority="451">
      <formula>$B617&lt;&gt;""</formula>
    </cfRule>
    <cfRule type="expression" dxfId="317" priority="450">
      <formula>$B39&lt;&gt;""</formula>
    </cfRule>
  </conditionalFormatting>
  <conditionalFormatting sqref="C39">
    <cfRule type="expression" dxfId="316" priority="301">
      <formula>#REF!&lt;&gt;""</formula>
    </cfRule>
  </conditionalFormatting>
  <conditionalFormatting sqref="D39">
    <cfRule type="expression" dxfId="315" priority="302">
      <formula>#REF!&lt;&gt;""</formula>
    </cfRule>
  </conditionalFormatting>
  <conditionalFormatting sqref="B40">
    <cfRule type="expression" dxfId="314" priority="293">
      <formula>$B40&lt;&gt;""</formula>
    </cfRule>
  </conditionalFormatting>
  <conditionalFormatting sqref="C40:D40">
    <cfRule type="expression" dxfId="313" priority="296">
      <formula>$B40&lt;&gt;""</formula>
    </cfRule>
  </conditionalFormatting>
  <conditionalFormatting sqref="E40">
    <cfRule type="expression" dxfId="312" priority="295">
      <formula>#REF!&lt;&gt;""</formula>
    </cfRule>
  </conditionalFormatting>
  <conditionalFormatting sqref="AA40">
    <cfRule type="expression" dxfId="311" priority="294">
      <formula>#REF!&lt;&gt;""</formula>
    </cfRule>
  </conditionalFormatting>
  <conditionalFormatting sqref="B41">
    <cfRule type="expression" dxfId="310" priority="299">
      <formula>$B618&lt;&gt;""</formula>
    </cfRule>
    <cfRule type="expression" dxfId="309" priority="298">
      <formula>$B41&lt;&gt;""</formula>
    </cfRule>
  </conditionalFormatting>
  <conditionalFormatting sqref="C41">
    <cfRule type="expression" dxfId="308" priority="300">
      <formula>#REF!&lt;&gt;""</formula>
    </cfRule>
  </conditionalFormatting>
  <conditionalFormatting sqref="D41">
    <cfRule type="expression" dxfId="307" priority="231">
      <formula>#REF!&lt;&gt;""</formula>
    </cfRule>
  </conditionalFormatting>
  <conditionalFormatting sqref="C42">
    <cfRule type="expression" dxfId="306" priority="290">
      <formula>$B42&lt;&gt;""</formula>
    </cfRule>
  </conditionalFormatting>
  <conditionalFormatting sqref="D42">
    <cfRule type="expression" dxfId="305" priority="291">
      <formula>$B42&lt;&gt;""</formula>
    </cfRule>
  </conditionalFormatting>
  <conditionalFormatting sqref="AA42">
    <cfRule type="expression" dxfId="304" priority="289">
      <formula>#REF!&lt;&gt;""</formula>
    </cfRule>
  </conditionalFormatting>
  <conditionalFormatting sqref="B43">
    <cfRule type="expression" dxfId="303" priority="287">
      <formula>$B620&lt;&gt;""</formula>
    </cfRule>
    <cfRule type="expression" dxfId="302" priority="286">
      <formula>$B43&lt;&gt;""</formula>
    </cfRule>
  </conditionalFormatting>
  <conditionalFormatting sqref="D43">
    <cfRule type="expression" dxfId="301" priority="288">
      <formula>#REF!&lt;&gt;""</formula>
    </cfRule>
  </conditionalFormatting>
  <conditionalFormatting sqref="B44">
    <cfRule type="expression" dxfId="300" priority="283">
      <formula>$B621&lt;&gt;""</formula>
    </cfRule>
    <cfRule type="expression" dxfId="299" priority="282">
      <formula>$B44&lt;&gt;""</formula>
    </cfRule>
  </conditionalFormatting>
  <conditionalFormatting sqref="C44">
    <cfRule type="expression" dxfId="298" priority="284">
      <formula>#REF!&lt;&gt;""</formula>
    </cfRule>
  </conditionalFormatting>
  <conditionalFormatting sqref="D44">
    <cfRule type="expression" dxfId="297" priority="285">
      <formula>#REF!&lt;&gt;""</formula>
    </cfRule>
  </conditionalFormatting>
  <conditionalFormatting sqref="B45">
    <cfRule type="expression" dxfId="296" priority="453">
      <formula>$B679&lt;&gt;""</formula>
    </cfRule>
    <cfRule type="expression" dxfId="295" priority="452">
      <formula>$B45&lt;&gt;""</formula>
    </cfRule>
  </conditionalFormatting>
  <conditionalFormatting sqref="C45">
    <cfRule type="expression" dxfId="294" priority="280">
      <formula>#REF!&lt;&gt;""</formula>
    </cfRule>
  </conditionalFormatting>
  <conditionalFormatting sqref="B46">
    <cfRule type="duplicateValues" dxfId="293" priority="251"/>
    <cfRule type="duplicateValues" dxfId="292" priority="250"/>
    <cfRule type="duplicateValues" dxfId="291" priority="249"/>
    <cfRule type="duplicateValues" dxfId="290" priority="248"/>
    <cfRule type="duplicateValues" dxfId="289" priority="247"/>
    <cfRule type="duplicateValues" dxfId="288" priority="246"/>
  </conditionalFormatting>
  <conditionalFormatting sqref="B47">
    <cfRule type="expression" dxfId="287" priority="279">
      <formula>$B683&lt;&gt;""</formula>
    </cfRule>
    <cfRule type="expression" dxfId="286" priority="278">
      <formula>$B47&lt;&gt;""</formula>
    </cfRule>
  </conditionalFormatting>
  <conditionalFormatting sqref="C47">
    <cfRule type="expression" dxfId="285" priority="276">
      <formula>#REF!&lt;&gt;""</formula>
    </cfRule>
  </conditionalFormatting>
  <conditionalFormatting sqref="D47">
    <cfRule type="expression" dxfId="284" priority="277">
      <formula>#REF!&lt;&gt;""</formula>
    </cfRule>
  </conditionalFormatting>
  <conditionalFormatting sqref="B48">
    <cfRule type="expression" dxfId="283" priority="275">
      <formula>$B691&lt;&gt;""</formula>
    </cfRule>
    <cfRule type="expression" dxfId="282" priority="274">
      <formula>$B48&lt;&gt;""</formula>
    </cfRule>
  </conditionalFormatting>
  <conditionalFormatting sqref="C48">
    <cfRule type="expression" dxfId="281" priority="272">
      <formula>#REF!&lt;&gt;""</formula>
    </cfRule>
  </conditionalFormatting>
  <conditionalFormatting sqref="D48">
    <cfRule type="expression" dxfId="280" priority="273">
      <formula>#REF!&lt;&gt;""</formula>
    </cfRule>
  </conditionalFormatting>
  <conditionalFormatting sqref="A49">
    <cfRule type="expression" dxfId="279" priority="209">
      <formula>$C49&lt;&gt;""</formula>
    </cfRule>
    <cfRule type="expression" dxfId="278" priority="208">
      <formula>$A744&lt;&gt;""</formula>
    </cfRule>
    <cfRule type="expression" dxfId="277" priority="207">
      <formula>$A49&lt;&gt;""</formula>
    </cfRule>
  </conditionalFormatting>
  <conditionalFormatting sqref="B49">
    <cfRule type="expression" dxfId="276" priority="235">
      <formula>$B692&lt;&gt;""</formula>
    </cfRule>
    <cfRule type="expression" dxfId="275" priority="234">
      <formula>$B49&lt;&gt;""</formula>
    </cfRule>
  </conditionalFormatting>
  <conditionalFormatting sqref="C49:D49">
    <cfRule type="expression" dxfId="274" priority="236">
      <formula>#REF!&lt;&gt;""</formula>
    </cfRule>
  </conditionalFormatting>
  <conditionalFormatting sqref="G49:K49">
    <cfRule type="expression" dxfId="273" priority="238">
      <formula>#REF!&lt;&gt;""</formula>
    </cfRule>
  </conditionalFormatting>
  <conditionalFormatting sqref="L49">
    <cfRule type="expression" dxfId="272" priority="237">
      <formula>#REF!&lt;&gt;""</formula>
    </cfRule>
  </conditionalFormatting>
  <conditionalFormatting sqref="O49">
    <cfRule type="expression" dxfId="271" priority="233">
      <formula>$B49&lt;&gt;""</formula>
    </cfRule>
  </conditionalFormatting>
  <conditionalFormatting sqref="R49">
    <cfRule type="expression" dxfId="270" priority="232">
      <formula>$B49&lt;&gt;""</formula>
    </cfRule>
  </conditionalFormatting>
  <conditionalFormatting sqref="A50">
    <cfRule type="expression" dxfId="269" priority="203">
      <formula>$C50&lt;&gt;""</formula>
    </cfRule>
    <cfRule type="expression" dxfId="268" priority="202">
      <formula>$A747&lt;&gt;""</formula>
    </cfRule>
    <cfRule type="expression" dxfId="267" priority="201">
      <formula>$A50&lt;&gt;""</formula>
    </cfRule>
  </conditionalFormatting>
  <conditionalFormatting sqref="D50">
    <cfRule type="expression" dxfId="266" priority="205">
      <formula>#REF!&lt;&gt;""</formula>
    </cfRule>
  </conditionalFormatting>
  <conditionalFormatting sqref="A51">
    <cfRule type="expression" dxfId="265" priority="200">
      <formula>$C51&lt;&gt;""</formula>
    </cfRule>
    <cfRule type="expression" dxfId="264" priority="199">
      <formula>$A748&lt;&gt;""</formula>
    </cfRule>
    <cfRule type="expression" dxfId="263" priority="198">
      <formula>$A51&lt;&gt;""</formula>
    </cfRule>
  </conditionalFormatting>
  <conditionalFormatting sqref="A52">
    <cfRule type="expression" dxfId="262" priority="197">
      <formula>$C52&lt;&gt;""</formula>
    </cfRule>
    <cfRule type="expression" dxfId="261" priority="196">
      <formula>$A749&lt;&gt;""</formula>
    </cfRule>
    <cfRule type="expression" dxfId="260" priority="195">
      <formula>$A52&lt;&gt;""</formula>
    </cfRule>
  </conditionalFormatting>
  <conditionalFormatting sqref="A53">
    <cfRule type="expression" dxfId="259" priority="194">
      <formula>$C53&lt;&gt;""</formula>
    </cfRule>
    <cfRule type="expression" dxfId="258" priority="193">
      <formula>$A750&lt;&gt;""</formula>
    </cfRule>
    <cfRule type="expression" dxfId="257" priority="192">
      <formula>$A53&lt;&gt;""</formula>
    </cfRule>
  </conditionalFormatting>
  <conditionalFormatting sqref="D53">
    <cfRule type="expression" dxfId="256" priority="204">
      <formula>#REF!&lt;&gt;""</formula>
    </cfRule>
  </conditionalFormatting>
  <conditionalFormatting sqref="A54">
    <cfRule type="expression" dxfId="255" priority="187">
      <formula>$C54&lt;&gt;""</formula>
    </cfRule>
    <cfRule type="expression" dxfId="254" priority="186">
      <formula>$A754&lt;&gt;""</formula>
    </cfRule>
    <cfRule type="expression" dxfId="253" priority="185">
      <formula>$A54&lt;&gt;""</formula>
    </cfRule>
  </conditionalFormatting>
  <conditionalFormatting sqref="D54">
    <cfRule type="expression" dxfId="252" priority="189">
      <formula>#REF!&lt;&gt;""</formula>
    </cfRule>
  </conditionalFormatting>
  <conditionalFormatting sqref="A55">
    <cfRule type="expression" dxfId="251" priority="184">
      <formula>$C55&lt;&gt;""</formula>
    </cfRule>
    <cfRule type="expression" dxfId="250" priority="183">
      <formula>$A756&lt;&gt;""</formula>
    </cfRule>
    <cfRule type="expression" dxfId="249" priority="182">
      <formula>$A55&lt;&gt;""</formula>
    </cfRule>
  </conditionalFormatting>
  <conditionalFormatting sqref="D55">
    <cfRule type="expression" dxfId="248" priority="188">
      <formula>#REF!&lt;&gt;""</formula>
    </cfRule>
  </conditionalFormatting>
  <conditionalFormatting sqref="A56">
    <cfRule type="expression" dxfId="247" priority="179">
      <formula>$C56&lt;&gt;""</formula>
    </cfRule>
    <cfRule type="expression" dxfId="246" priority="177">
      <formula>$A757&lt;&gt;""</formula>
    </cfRule>
    <cfRule type="expression" dxfId="245" priority="175">
      <formula>$A56&lt;&gt;""</formula>
    </cfRule>
  </conditionalFormatting>
  <conditionalFormatting sqref="D56">
    <cfRule type="expression" dxfId="244" priority="181">
      <formula>#REF!&lt;&gt;""</formula>
    </cfRule>
  </conditionalFormatting>
  <conditionalFormatting sqref="A57">
    <cfRule type="expression" dxfId="243" priority="178">
      <formula>$C57&lt;&gt;""</formula>
    </cfRule>
    <cfRule type="expression" dxfId="242" priority="176">
      <formula>$A758&lt;&gt;""</formula>
    </cfRule>
    <cfRule type="expression" dxfId="241" priority="174">
      <formula>$A57&lt;&gt;""</formula>
    </cfRule>
  </conditionalFormatting>
  <conditionalFormatting sqref="D57">
    <cfRule type="expression" dxfId="240" priority="180">
      <formula>#REF!&lt;&gt;""</formula>
    </cfRule>
  </conditionalFormatting>
  <conditionalFormatting sqref="C58">
    <cfRule type="expression" dxfId="239" priority="172">
      <formula>#REF!&lt;&gt;""</formula>
    </cfRule>
  </conditionalFormatting>
  <conditionalFormatting sqref="D58">
    <cfRule type="expression" dxfId="238" priority="173">
      <formula>#REF!&lt;&gt;""</formula>
    </cfRule>
  </conditionalFormatting>
  <conditionalFormatting sqref="C59">
    <cfRule type="expression" dxfId="237" priority="170">
      <formula>#REF!&lt;&gt;""</formula>
    </cfRule>
  </conditionalFormatting>
  <conditionalFormatting sqref="D59">
    <cfRule type="expression" dxfId="236" priority="171">
      <formula>#REF!&lt;&gt;""</formula>
    </cfRule>
  </conditionalFormatting>
  <conditionalFormatting sqref="A60">
    <cfRule type="expression" dxfId="235" priority="164">
      <formula>$C60&lt;&gt;""</formula>
    </cfRule>
    <cfRule type="expression" dxfId="234" priority="163">
      <formula>$A785&lt;&gt;""</formula>
    </cfRule>
    <cfRule type="expression" dxfId="233" priority="162">
      <formula>$A60&lt;&gt;""</formula>
    </cfRule>
  </conditionalFormatting>
  <conditionalFormatting sqref="B60">
    <cfRule type="expression" dxfId="232" priority="158">
      <formula>$C60&lt;&gt;""</formula>
    </cfRule>
    <cfRule type="expression" dxfId="231" priority="157">
      <formula>$A785&lt;&gt;""</formula>
    </cfRule>
    <cfRule type="expression" dxfId="230" priority="156">
      <formula>$A60&lt;&gt;""</formula>
    </cfRule>
  </conditionalFormatting>
  <conditionalFormatting sqref="D60">
    <cfRule type="expression" dxfId="229" priority="165">
      <formula>#REF!&lt;&gt;""</formula>
    </cfRule>
  </conditionalFormatting>
  <conditionalFormatting sqref="A61">
    <cfRule type="expression" dxfId="228" priority="161">
      <formula>$C61&lt;&gt;""</formula>
    </cfRule>
    <cfRule type="expression" dxfId="227" priority="160">
      <formula>$A786&lt;&gt;""</formula>
    </cfRule>
    <cfRule type="expression" dxfId="226" priority="159">
      <formula>$A61&lt;&gt;""</formula>
    </cfRule>
  </conditionalFormatting>
  <conditionalFormatting sqref="D61">
    <cfRule type="expression" dxfId="225" priority="166">
      <formula>#REF!&lt;&gt;""</formula>
    </cfRule>
  </conditionalFormatting>
  <conditionalFormatting sqref="D62">
    <cfRule type="expression" dxfId="224" priority="155">
      <formula>#REF!&lt;&gt;""</formula>
    </cfRule>
  </conditionalFormatting>
  <conditionalFormatting sqref="D63">
    <cfRule type="expression" dxfId="223" priority="154">
      <formula>#REF!&lt;&gt;""</formula>
    </cfRule>
  </conditionalFormatting>
  <conditionalFormatting sqref="D64">
    <cfRule type="expression" dxfId="222" priority="153">
      <formula>#REF!&lt;&gt;""</formula>
    </cfRule>
  </conditionalFormatting>
  <conditionalFormatting sqref="D65">
    <cfRule type="expression" dxfId="221" priority="151">
      <formula>#REF!&lt;&gt;""</formula>
    </cfRule>
  </conditionalFormatting>
  <conditionalFormatting sqref="D66">
    <cfRule type="expression" dxfId="220" priority="150">
      <formula>#REF!&lt;&gt;""</formula>
    </cfRule>
  </conditionalFormatting>
  <conditionalFormatting sqref="D67">
    <cfRule type="expression" dxfId="219" priority="152">
      <formula>#REF!&lt;&gt;""</formula>
    </cfRule>
  </conditionalFormatting>
  <conditionalFormatting sqref="D68">
    <cfRule type="expression" dxfId="218" priority="149">
      <formula>#REF!&lt;&gt;""</formula>
    </cfRule>
  </conditionalFormatting>
  <conditionalFormatting sqref="D69">
    <cfRule type="expression" dxfId="217" priority="144">
      <formula>#REF!&lt;&gt;""</formula>
    </cfRule>
  </conditionalFormatting>
  <conditionalFormatting sqref="D70">
    <cfRule type="expression" dxfId="216" priority="145">
      <formula>#REF!&lt;&gt;""</formula>
    </cfRule>
  </conditionalFormatting>
  <conditionalFormatting sqref="A71">
    <cfRule type="expression" dxfId="215" priority="133">
      <formula>$C71&lt;&gt;""</formula>
    </cfRule>
    <cfRule type="expression" dxfId="214" priority="132">
      <formula>$A822&lt;&gt;""</formula>
    </cfRule>
    <cfRule type="expression" dxfId="213" priority="131">
      <formula>$A71&lt;&gt;""</formula>
    </cfRule>
  </conditionalFormatting>
  <conditionalFormatting sqref="D71">
    <cfRule type="expression" dxfId="212" priority="137">
      <formula>#REF!&lt;&gt;""</formula>
    </cfRule>
  </conditionalFormatting>
  <conditionalFormatting sqref="D72">
    <cfRule type="expression" dxfId="211" priority="138">
      <formula>#REF!&lt;&gt;""</formula>
    </cfRule>
  </conditionalFormatting>
  <conditionalFormatting sqref="D73">
    <cfRule type="expression" dxfId="210" priority="136">
      <formula>#REF!&lt;&gt;""</formula>
    </cfRule>
  </conditionalFormatting>
  <conditionalFormatting sqref="D74">
    <cfRule type="expression" dxfId="209" priority="139">
      <formula>#REF!&lt;&gt;""</formula>
    </cfRule>
  </conditionalFormatting>
  <conditionalFormatting sqref="D75">
    <cfRule type="expression" dxfId="208" priority="140">
      <formula>#REF!&lt;&gt;""</formula>
    </cfRule>
  </conditionalFormatting>
  <conditionalFormatting sqref="D76">
    <cfRule type="expression" dxfId="207" priority="134">
      <formula>#REF!&lt;&gt;""</formula>
    </cfRule>
  </conditionalFormatting>
  <conditionalFormatting sqref="D77">
    <cfRule type="expression" dxfId="206" priority="135">
      <formula>#REF!&lt;&gt;""</formula>
    </cfRule>
  </conditionalFormatting>
  <conditionalFormatting sqref="A78">
    <cfRule type="expression" dxfId="205" priority="112">
      <formula>$C78&lt;&gt;""</formula>
    </cfRule>
    <cfRule type="expression" dxfId="204" priority="111">
      <formula>$A842&lt;&gt;""</formula>
    </cfRule>
    <cfRule type="expression" dxfId="203" priority="110">
      <formula>$A78&lt;&gt;""</formula>
    </cfRule>
  </conditionalFormatting>
  <conditionalFormatting sqref="D78">
    <cfRule type="expression" dxfId="202" priority="113">
      <formula>#REF!&lt;&gt;""</formula>
    </cfRule>
  </conditionalFormatting>
  <conditionalFormatting sqref="A79">
    <cfRule type="expression" dxfId="201" priority="109">
      <formula>$C79&lt;&gt;""</formula>
    </cfRule>
    <cfRule type="expression" dxfId="200" priority="108">
      <formula>$A843&lt;&gt;""</formula>
    </cfRule>
    <cfRule type="expression" dxfId="199" priority="107">
      <formula>$A79&lt;&gt;""</formula>
    </cfRule>
  </conditionalFormatting>
  <conditionalFormatting sqref="D79">
    <cfRule type="expression" dxfId="198" priority="114">
      <formula>#REF!&lt;&gt;""</formula>
    </cfRule>
  </conditionalFormatting>
  <conditionalFormatting sqref="D80">
    <cfRule type="expression" dxfId="197" priority="130">
      <formula>#REF!&lt;&gt;""</formula>
    </cfRule>
  </conditionalFormatting>
  <conditionalFormatting sqref="A82">
    <cfRule type="expression" dxfId="196" priority="124">
      <formula>$C82&lt;&gt;""</formula>
    </cfRule>
    <cfRule type="expression" dxfId="195" priority="122">
      <formula>$A823&lt;&gt;""</formula>
    </cfRule>
    <cfRule type="expression" dxfId="194" priority="120">
      <formula>$A82&lt;&gt;""</formula>
    </cfRule>
  </conditionalFormatting>
  <conditionalFormatting sqref="D82">
    <cfRule type="expression" dxfId="193" priority="126">
      <formula>#REF!&lt;&gt;""</formula>
    </cfRule>
  </conditionalFormatting>
  <conditionalFormatting sqref="A83">
    <cfRule type="expression" dxfId="192" priority="123">
      <formula>$C83&lt;&gt;""</formula>
    </cfRule>
    <cfRule type="expression" dxfId="191" priority="121">
      <formula>$A824&lt;&gt;""</formula>
    </cfRule>
    <cfRule type="expression" dxfId="190" priority="119">
      <formula>$A83&lt;&gt;""</formula>
    </cfRule>
  </conditionalFormatting>
  <conditionalFormatting sqref="D83">
    <cfRule type="expression" dxfId="189" priority="125">
      <formula>#REF!&lt;&gt;""</formula>
    </cfRule>
  </conditionalFormatting>
  <conditionalFormatting sqref="D94">
    <cfRule type="expression" dxfId="188" priority="106">
      <formula>#REF!&lt;&gt;""</formula>
    </cfRule>
  </conditionalFormatting>
  <conditionalFormatting sqref="D95">
    <cfRule type="expression" dxfId="187" priority="105">
      <formula>#REF!&lt;&gt;""</formula>
    </cfRule>
  </conditionalFormatting>
  <conditionalFormatting sqref="B96">
    <cfRule type="expression" dxfId="186" priority="102">
      <formula>#REF!&lt;&gt;""</formula>
    </cfRule>
  </conditionalFormatting>
  <conditionalFormatting sqref="C96">
    <cfRule type="expression" dxfId="185" priority="94">
      <formula>#REF!&lt;&gt;""</formula>
    </cfRule>
    <cfRule type="expression" dxfId="184" priority="93">
      <formula>#REF!&lt;&gt;""</formula>
    </cfRule>
  </conditionalFormatting>
  <conditionalFormatting sqref="D96">
    <cfRule type="expression" dxfId="183" priority="95">
      <formula>#REF!&lt;&gt;""</formula>
    </cfRule>
  </conditionalFormatting>
  <conditionalFormatting sqref="F96">
    <cfRule type="expression" dxfId="182" priority="104">
      <formula>#REF!&lt;&gt;""</formula>
    </cfRule>
  </conditionalFormatting>
  <conditionalFormatting sqref="G96">
    <cfRule type="expression" dxfId="181" priority="103">
      <formula>#REF!&lt;&gt;""</formula>
    </cfRule>
  </conditionalFormatting>
  <conditionalFormatting sqref="I96">
    <cfRule type="expression" dxfId="180" priority="101">
      <formula>#REF!&lt;&gt;""</formula>
    </cfRule>
  </conditionalFormatting>
  <conditionalFormatting sqref="J96">
    <cfRule type="expression" dxfId="179" priority="92">
      <formula>#REF!&lt;&gt;""</formula>
    </cfRule>
  </conditionalFormatting>
  <conditionalFormatting sqref="K96">
    <cfRule type="expression" dxfId="178" priority="97">
      <formula>#REF!&lt;&gt;""</formula>
    </cfRule>
  </conditionalFormatting>
  <conditionalFormatting sqref="M96">
    <cfRule type="expression" dxfId="177" priority="98">
      <formula>#REF!&lt;&gt;""</formula>
    </cfRule>
  </conditionalFormatting>
  <conditionalFormatting sqref="P96">
    <cfRule type="expression" dxfId="176" priority="96">
      <formula>#REF!&lt;&gt;""</formula>
    </cfRule>
  </conditionalFormatting>
  <conditionalFormatting sqref="B97">
    <cfRule type="expression" dxfId="175" priority="87">
      <formula>#REF!&lt;&gt;""</formula>
    </cfRule>
  </conditionalFormatting>
  <conditionalFormatting sqref="C97">
    <cfRule type="expression" dxfId="174" priority="75">
      <formula>#REF!&lt;&gt;""</formula>
    </cfRule>
    <cfRule type="expression" dxfId="173" priority="73">
      <formula>#REF!&lt;&gt;""</formula>
    </cfRule>
  </conditionalFormatting>
  <conditionalFormatting sqref="D97">
    <cfRule type="expression" dxfId="172" priority="77">
      <formula>#REF!&lt;&gt;""</formula>
    </cfRule>
  </conditionalFormatting>
  <conditionalFormatting sqref="F97">
    <cfRule type="expression" dxfId="171" priority="91">
      <formula>#REF!&lt;&gt;""</formula>
    </cfRule>
  </conditionalFormatting>
  <conditionalFormatting sqref="G97">
    <cfRule type="expression" dxfId="170" priority="89">
      <formula>#REF!&lt;&gt;""</formula>
    </cfRule>
  </conditionalFormatting>
  <conditionalFormatting sqref="I97">
    <cfRule type="expression" dxfId="169" priority="85">
      <formula>#REF!&lt;&gt;""</formula>
    </cfRule>
  </conditionalFormatting>
  <conditionalFormatting sqref="J97">
    <cfRule type="expression" dxfId="168" priority="71">
      <formula>#REF!&lt;&gt;""</formula>
    </cfRule>
  </conditionalFormatting>
  <conditionalFormatting sqref="K97">
    <cfRule type="expression" dxfId="167" priority="82">
      <formula>#REF!&lt;&gt;""</formula>
    </cfRule>
  </conditionalFormatting>
  <conditionalFormatting sqref="P97">
    <cfRule type="expression" dxfId="166" priority="79">
      <formula>#REF!&lt;&gt;""</formula>
    </cfRule>
  </conditionalFormatting>
  <conditionalFormatting sqref="B98">
    <cfRule type="expression" dxfId="165" priority="86">
      <formula>#REF!&lt;&gt;""</formula>
    </cfRule>
  </conditionalFormatting>
  <conditionalFormatting sqref="C98">
    <cfRule type="expression" dxfId="164" priority="74">
      <formula>#REF!&lt;&gt;""</formula>
    </cfRule>
    <cfRule type="expression" dxfId="163" priority="72">
      <formula>#REF!&lt;&gt;""</formula>
    </cfRule>
  </conditionalFormatting>
  <conditionalFormatting sqref="D98">
    <cfRule type="expression" dxfId="162" priority="76">
      <formula>#REF!&lt;&gt;""</formula>
    </cfRule>
  </conditionalFormatting>
  <conditionalFormatting sqref="F98">
    <cfRule type="expression" dxfId="161" priority="90">
      <formula>#REF!&lt;&gt;""</formula>
    </cfRule>
  </conditionalFormatting>
  <conditionalFormatting sqref="G98">
    <cfRule type="expression" dxfId="160" priority="88">
      <formula>#REF!&lt;&gt;""</formula>
    </cfRule>
  </conditionalFormatting>
  <conditionalFormatting sqref="I98">
    <cfRule type="expression" dxfId="159" priority="84">
      <formula>#REF!&lt;&gt;""</formula>
    </cfRule>
  </conditionalFormatting>
  <conditionalFormatting sqref="J98">
    <cfRule type="expression" dxfId="158" priority="70">
      <formula>#REF!&lt;&gt;""</formula>
    </cfRule>
  </conditionalFormatting>
  <conditionalFormatting sqref="K98">
    <cfRule type="expression" dxfId="157" priority="81">
      <formula>#REF!&lt;&gt;""</formula>
    </cfRule>
  </conditionalFormatting>
  <conditionalFormatting sqref="B99">
    <cfRule type="expression" dxfId="156" priority="65">
      <formula>#REF!&lt;&gt;""</formula>
    </cfRule>
  </conditionalFormatting>
  <conditionalFormatting sqref="C99">
    <cfRule type="expression" dxfId="155" priority="59">
      <formula>#REF!&lt;&gt;""</formula>
    </cfRule>
    <cfRule type="expression" dxfId="154" priority="57">
      <formula>#REF!&lt;&gt;""</formula>
    </cfRule>
  </conditionalFormatting>
  <conditionalFormatting sqref="D99">
    <cfRule type="expression" dxfId="153" priority="61">
      <formula>#REF!&lt;&gt;""</formula>
    </cfRule>
  </conditionalFormatting>
  <conditionalFormatting sqref="F99">
    <cfRule type="expression" dxfId="152" priority="69">
      <formula>#REF!&lt;&gt;""</formula>
    </cfRule>
  </conditionalFormatting>
  <conditionalFormatting sqref="G99">
    <cfRule type="expression" dxfId="151" priority="67">
      <formula>#REF!&lt;&gt;""</formula>
    </cfRule>
  </conditionalFormatting>
  <conditionalFormatting sqref="I99">
    <cfRule type="expression" dxfId="150" priority="63">
      <formula>#REF!&lt;&gt;""</formula>
    </cfRule>
  </conditionalFormatting>
  <conditionalFormatting sqref="J99">
    <cfRule type="expression" dxfId="149" priority="55">
      <formula>#REF!&lt;&gt;""</formula>
    </cfRule>
  </conditionalFormatting>
  <conditionalFormatting sqref="B100">
    <cfRule type="expression" dxfId="148" priority="64">
      <formula>#REF!&lt;&gt;""</formula>
    </cfRule>
  </conditionalFormatting>
  <conditionalFormatting sqref="C100">
    <cfRule type="expression" dxfId="147" priority="58">
      <formula>#REF!&lt;&gt;""</formula>
    </cfRule>
    <cfRule type="expression" dxfId="146" priority="56">
      <formula>#REF!&lt;&gt;""</formula>
    </cfRule>
  </conditionalFormatting>
  <conditionalFormatting sqref="D100">
    <cfRule type="expression" dxfId="145" priority="60">
      <formula>#REF!&lt;&gt;""</formula>
    </cfRule>
  </conditionalFormatting>
  <conditionalFormatting sqref="F100">
    <cfRule type="expression" dxfId="144" priority="68">
      <formula>#REF!&lt;&gt;""</formula>
    </cfRule>
  </conditionalFormatting>
  <conditionalFormatting sqref="G100">
    <cfRule type="expression" dxfId="143" priority="66">
      <formula>#REF!&lt;&gt;""</formula>
    </cfRule>
  </conditionalFormatting>
  <conditionalFormatting sqref="I100">
    <cfRule type="expression" dxfId="142" priority="62">
      <formula>#REF!&lt;&gt;""</formula>
    </cfRule>
  </conditionalFormatting>
  <conditionalFormatting sqref="J100">
    <cfRule type="expression" dxfId="141" priority="54">
      <formula>#REF!&lt;&gt;""</formula>
    </cfRule>
  </conditionalFormatting>
  <conditionalFormatting sqref="B101">
    <cfRule type="expression" dxfId="140" priority="49">
      <formula>$A101&lt;&gt;""</formula>
    </cfRule>
  </conditionalFormatting>
  <conditionalFormatting sqref="C101">
    <cfRule type="expression" dxfId="139" priority="40">
      <formula>$A101&lt;&gt;""</formula>
    </cfRule>
    <cfRule type="expression" dxfId="138" priority="39">
      <formula>$A101&lt;&gt;""</formula>
    </cfRule>
  </conditionalFormatting>
  <conditionalFormatting sqref="D101">
    <cfRule type="expression" dxfId="137" priority="41">
      <formula>#REF!&lt;&gt;""</formula>
    </cfRule>
  </conditionalFormatting>
  <conditionalFormatting sqref="F101">
    <cfRule type="expression" dxfId="136" priority="51">
      <formula>#REF!&lt;&gt;""</formula>
    </cfRule>
  </conditionalFormatting>
  <conditionalFormatting sqref="G101">
    <cfRule type="expression" dxfId="135" priority="50">
      <formula>#REF!&lt;&gt;""</formula>
    </cfRule>
  </conditionalFormatting>
  <conditionalFormatting sqref="H101">
    <cfRule type="expression" dxfId="134" priority="47">
      <formula>#REF!&lt;&gt;""</formula>
    </cfRule>
  </conditionalFormatting>
  <conditionalFormatting sqref="I101">
    <cfRule type="expression" dxfId="133" priority="48">
      <formula>#REF!&lt;&gt;""</formula>
    </cfRule>
  </conditionalFormatting>
  <conditionalFormatting sqref="J101">
    <cfRule type="expression" dxfId="132" priority="38">
      <formula>#REF!&lt;&gt;""</formula>
    </cfRule>
  </conditionalFormatting>
  <conditionalFormatting sqref="K101">
    <cfRule type="expression" dxfId="131" priority="43">
      <formula>#REF!&lt;&gt;""</formula>
    </cfRule>
  </conditionalFormatting>
  <conditionalFormatting sqref="L101">
    <cfRule type="expression" dxfId="130" priority="44">
      <formula>#REF!&lt;&gt;""</formula>
    </cfRule>
  </conditionalFormatting>
  <conditionalFormatting sqref="M101">
    <cfRule type="expression" dxfId="129" priority="45">
      <formula>#REF!&lt;&gt;""</formula>
    </cfRule>
  </conditionalFormatting>
  <conditionalFormatting sqref="N101">
    <cfRule type="expression" dxfId="128" priority="46">
      <formula>#REF!&lt;&gt;""</formula>
    </cfRule>
  </conditionalFormatting>
  <conditionalFormatting sqref="P101">
    <cfRule type="expression" dxfId="127" priority="42">
      <formula>#REF!&lt;&gt;""</formula>
    </cfRule>
  </conditionalFormatting>
  <conditionalFormatting sqref="B102">
    <cfRule type="expression" dxfId="126" priority="31">
      <formula>$A102&lt;&gt;""</formula>
    </cfRule>
  </conditionalFormatting>
  <conditionalFormatting sqref="C102">
    <cfRule type="expression" dxfId="125" priority="30">
      <formula>$A102&lt;&gt;""</formula>
    </cfRule>
    <cfRule type="expression" dxfId="124" priority="29">
      <formula>$A102&lt;&gt;""</formula>
    </cfRule>
  </conditionalFormatting>
  <conditionalFormatting sqref="D102">
    <cfRule type="expression" dxfId="123" priority="28">
      <formula>#REF!&lt;&gt;""</formula>
    </cfRule>
  </conditionalFormatting>
  <conditionalFormatting sqref="F102">
    <cfRule type="expression" dxfId="122" priority="27">
      <formula>#REF!&lt;&gt;""</formula>
    </cfRule>
  </conditionalFormatting>
  <conditionalFormatting sqref="G102">
    <cfRule type="expression" dxfId="121" priority="26">
      <formula>#REF!&lt;&gt;""</formula>
    </cfRule>
  </conditionalFormatting>
  <conditionalFormatting sqref="H102">
    <cfRule type="expression" dxfId="120" priority="24">
      <formula>#REF!&lt;&gt;""</formula>
    </cfRule>
  </conditionalFormatting>
  <conditionalFormatting sqref="I102">
    <cfRule type="expression" dxfId="119" priority="25">
      <formula>#REF!&lt;&gt;""</formula>
    </cfRule>
  </conditionalFormatting>
  <conditionalFormatting sqref="J102">
    <cfRule type="expression" dxfId="118" priority="18">
      <formula>#REF!&lt;&gt;""</formula>
    </cfRule>
  </conditionalFormatting>
  <conditionalFormatting sqref="K102">
    <cfRule type="expression" dxfId="117" priority="20">
      <formula>#REF!&lt;&gt;""</formula>
    </cfRule>
  </conditionalFormatting>
  <conditionalFormatting sqref="L102">
    <cfRule type="expression" dxfId="116" priority="21">
      <formula>#REF!&lt;&gt;""</formula>
    </cfRule>
  </conditionalFormatting>
  <conditionalFormatting sqref="M102">
    <cfRule type="expression" dxfId="115" priority="22">
      <formula>#REF!&lt;&gt;""</formula>
    </cfRule>
  </conditionalFormatting>
  <conditionalFormatting sqref="N102">
    <cfRule type="expression" dxfId="114" priority="23">
      <formula>#REF!&lt;&gt;""</formula>
    </cfRule>
  </conditionalFormatting>
  <conditionalFormatting sqref="P102">
    <cfRule type="expression" dxfId="113" priority="19">
      <formula>#REF!&lt;&gt;""</formula>
    </cfRule>
  </conditionalFormatting>
  <conditionalFormatting sqref="D106">
    <cfRule type="expression" dxfId="112" priority="17">
      <formula>#REF!&lt;&gt;""</formula>
    </cfRule>
  </conditionalFormatting>
  <conditionalFormatting sqref="B107">
    <cfRule type="expression" dxfId="111" priority="15">
      <formula>$B698&lt;&gt;""</formula>
    </cfRule>
    <cfRule type="expression" dxfId="110" priority="14">
      <formula>$B107&lt;&gt;""</formula>
    </cfRule>
  </conditionalFormatting>
  <conditionalFormatting sqref="D107">
    <cfRule type="expression" dxfId="109" priority="16">
      <formula>#REF!&lt;&gt;""</formula>
    </cfRule>
  </conditionalFormatting>
  <conditionalFormatting sqref="O107">
    <cfRule type="expression" dxfId="108" priority="13">
      <formula>$B107&lt;&gt;""</formula>
    </cfRule>
  </conditionalFormatting>
  <conditionalFormatting sqref="R107">
    <cfRule type="expression" dxfId="107" priority="12">
      <formula>$B107&lt;&gt;""</formula>
    </cfRule>
  </conditionalFormatting>
  <conditionalFormatting sqref="B111">
    <cfRule type="expression" dxfId="106" priority="4">
      <formula>$D111&lt;&gt;""</formula>
    </cfRule>
    <cfRule type="expression" dxfId="105" priority="3">
      <formula>$B851&lt;&gt;""</formula>
    </cfRule>
    <cfRule type="expression" dxfId="104" priority="2">
      <formula>$B111&lt;&gt;""</formula>
    </cfRule>
  </conditionalFormatting>
  <conditionalFormatting sqref="C111">
    <cfRule type="expression" dxfId="103" priority="1">
      <formula>#REF!&lt;&gt;""</formula>
    </cfRule>
  </conditionalFormatting>
  <conditionalFormatting sqref="D111">
    <cfRule type="expression" dxfId="102" priority="11">
      <formula>#REF!&lt;&gt;""</formula>
    </cfRule>
  </conditionalFormatting>
  <conditionalFormatting sqref="G111">
    <cfRule type="expression" dxfId="101" priority="10">
      <formula>$A111&lt;&gt;""</formula>
    </cfRule>
  </conditionalFormatting>
  <conditionalFormatting sqref="I111">
    <cfRule type="expression" dxfId="100" priority="9">
      <formula>$A111&lt;&gt;""</formula>
    </cfRule>
  </conditionalFormatting>
  <conditionalFormatting sqref="J111">
    <cfRule type="expression" dxfId="99" priority="8">
      <formula>$A111&lt;&gt;""</formula>
    </cfRule>
  </conditionalFormatting>
  <conditionalFormatting sqref="K111">
    <cfRule type="expression" dxfId="98" priority="7">
      <formula>$A111&lt;&gt;""</formula>
    </cfRule>
  </conditionalFormatting>
  <conditionalFormatting sqref="L111">
    <cfRule type="expression" dxfId="97" priority="6">
      <formula>$A111&lt;&gt;""</formula>
    </cfRule>
  </conditionalFormatting>
  <conditionalFormatting sqref="Q111">
    <cfRule type="expression" dxfId="96" priority="5">
      <formula>$A111&lt;&gt;""</formula>
    </cfRule>
  </conditionalFormatting>
  <conditionalFormatting sqref="A3:A48">
    <cfRule type="expression" dxfId="95" priority="212">
      <formula>$C3&lt;&gt;""</formula>
    </cfRule>
    <cfRule type="expression" dxfId="94" priority="211">
      <formula>$A698&lt;&gt;""</formula>
    </cfRule>
    <cfRule type="expression" dxfId="93" priority="210">
      <formula>$A3&lt;&gt;""</formula>
    </cfRule>
  </conditionalFormatting>
  <conditionalFormatting sqref="A58:A59">
    <cfRule type="expression" dxfId="92" priority="169">
      <formula>$C58&lt;&gt;""</formula>
    </cfRule>
    <cfRule type="expression" dxfId="91" priority="168">
      <formula>$A783&lt;&gt;""</formula>
    </cfRule>
    <cfRule type="expression" dxfId="90" priority="167">
      <formula>$A58&lt;&gt;""</formula>
    </cfRule>
  </conditionalFormatting>
  <conditionalFormatting sqref="A62:A68">
    <cfRule type="expression" dxfId="89" priority="148">
      <formula>$C62&lt;&gt;""</formula>
    </cfRule>
    <cfRule type="expression" dxfId="88" priority="147">
      <formula>$A791&lt;&gt;""</formula>
    </cfRule>
    <cfRule type="expression" dxfId="87" priority="146">
      <formula>$A62&lt;&gt;""</formula>
    </cfRule>
  </conditionalFormatting>
  <conditionalFormatting sqref="A69:A70">
    <cfRule type="expression" dxfId="86" priority="143">
      <formula>$C69&lt;&gt;""</formula>
    </cfRule>
    <cfRule type="expression" dxfId="85" priority="142">
      <formula>$A802&lt;&gt;""</formula>
    </cfRule>
    <cfRule type="expression" dxfId="84" priority="141">
      <formula>$A69&lt;&gt;""</formula>
    </cfRule>
  </conditionalFormatting>
  <conditionalFormatting sqref="A72:A77">
    <cfRule type="expression" dxfId="83" priority="456">
      <formula>$C72&lt;&gt;""</formula>
    </cfRule>
    <cfRule type="expression" dxfId="82" priority="455">
      <formula>$A823&lt;&gt;""</formula>
    </cfRule>
    <cfRule type="expression" dxfId="81" priority="454">
      <formula>$A72&lt;&gt;""</formula>
    </cfRule>
  </conditionalFormatting>
  <conditionalFormatting sqref="A80:A81">
    <cfRule type="expression" dxfId="80" priority="129">
      <formula>$C80&lt;&gt;""</formula>
    </cfRule>
    <cfRule type="expression" dxfId="79" priority="128">
      <formula>$A821&lt;&gt;""</formula>
    </cfRule>
    <cfRule type="expression" dxfId="78" priority="127">
      <formula>$A80&lt;&gt;""</formula>
    </cfRule>
  </conditionalFormatting>
  <conditionalFormatting sqref="A84:A95">
    <cfRule type="expression" dxfId="77" priority="117">
      <formula>$C84&lt;&gt;""</formula>
    </cfRule>
    <cfRule type="expression" dxfId="76" priority="116">
      <formula>$A847&lt;&gt;""</formula>
    </cfRule>
    <cfRule type="expression" dxfId="75" priority="115">
      <formula>$A84&lt;&gt;""</formula>
    </cfRule>
  </conditionalFormatting>
  <conditionalFormatting sqref="A96:A101">
    <cfRule type="expression" dxfId="74" priority="37">
      <formula>$C96&lt;&gt;""</formula>
    </cfRule>
    <cfRule type="expression" dxfId="73" priority="36">
      <formula>$A854&lt;&gt;""</formula>
    </cfRule>
    <cfRule type="expression" dxfId="72" priority="35">
      <formula>$A96&lt;&gt;""</formula>
    </cfRule>
  </conditionalFormatting>
  <conditionalFormatting sqref="A102:A111">
    <cfRule type="expression" dxfId="71" priority="34">
      <formula>$C102&lt;&gt;""</formula>
    </cfRule>
    <cfRule type="expression" dxfId="70" priority="33">
      <formula>$A858&lt;&gt;""</formula>
    </cfRule>
    <cfRule type="expression" dxfId="69" priority="32">
      <formula>$A102&lt;&gt;""</formula>
    </cfRule>
  </conditionalFormatting>
  <conditionalFormatting sqref="B3:B5">
    <cfRule type="duplicateValues" dxfId="68" priority="244"/>
    <cfRule type="duplicateValues" dxfId="67" priority="243"/>
    <cfRule type="duplicateValues" dxfId="66" priority="242"/>
    <cfRule type="duplicateValues" dxfId="65" priority="241"/>
    <cfRule type="duplicateValues" dxfId="64" priority="240"/>
  </conditionalFormatting>
  <conditionalFormatting sqref="B19:B21">
    <cfRule type="expression" dxfId="63" priority="381">
      <formula>$B19&lt;&gt;""</formula>
    </cfRule>
  </conditionalFormatting>
  <conditionalFormatting sqref="B22:B24">
    <cfRule type="expression" dxfId="62" priority="344">
      <formula>$B22&lt;&gt;""</formula>
    </cfRule>
  </conditionalFormatting>
  <conditionalFormatting sqref="B26:B27">
    <cfRule type="expression" dxfId="61" priority="328">
      <formula>$B26&lt;&gt;""</formula>
    </cfRule>
  </conditionalFormatting>
  <conditionalFormatting sqref="B50:B53">
    <cfRule type="expression" dxfId="60" priority="191">
      <formula>$B693&lt;&gt;""</formula>
    </cfRule>
    <cfRule type="expression" dxfId="59" priority="190">
      <formula>$B50&lt;&gt;""</formula>
    </cfRule>
  </conditionalFormatting>
  <conditionalFormatting sqref="C3:C5">
    <cfRule type="expression" dxfId="58" priority="239">
      <formula>#REF!&lt;&gt;""</formula>
    </cfRule>
  </conditionalFormatting>
  <conditionalFormatting sqref="C19:C21">
    <cfRule type="expression" dxfId="57" priority="385">
      <formula>$B19&lt;&gt;""</formula>
    </cfRule>
  </conditionalFormatting>
  <conditionalFormatting sqref="C26:C27">
    <cfRule type="expression" dxfId="56" priority="327">
      <formula>$D26&lt;&gt;""</formula>
    </cfRule>
  </conditionalFormatting>
  <conditionalFormatting sqref="D15:D16">
    <cfRule type="expression" dxfId="55" priority="220">
      <formula>$B771&lt;&gt;""</formula>
    </cfRule>
    <cfRule type="expression" dxfId="54" priority="219">
      <formula>$B15&lt;&gt;""</formula>
    </cfRule>
    <cfRule type="expression" dxfId="53" priority="218">
      <formula>$D15&lt;&gt;""</formula>
    </cfRule>
  </conditionalFormatting>
  <conditionalFormatting sqref="D19:D21">
    <cfRule type="expression" dxfId="52" priority="384">
      <formula>#REF!&lt;&gt;""</formula>
    </cfRule>
  </conditionalFormatting>
  <conditionalFormatting sqref="D45:D46">
    <cfRule type="expression" dxfId="51" priority="281">
      <formula>#REF!&lt;&gt;""</formula>
    </cfRule>
  </conditionalFormatting>
  <conditionalFormatting sqref="D51:D52">
    <cfRule type="expression" dxfId="50" priority="206">
      <formula>#REF!&lt;&gt;""</formula>
    </cfRule>
  </conditionalFormatting>
  <conditionalFormatting sqref="D84:D93">
    <cfRule type="expression" dxfId="49" priority="118">
      <formula>#REF!&lt;&gt;""</formula>
    </cfRule>
  </conditionalFormatting>
  <conditionalFormatting sqref="H96:H100">
    <cfRule type="expression" dxfId="48" priority="100">
      <formula>#REF!&lt;&gt;""</formula>
    </cfRule>
  </conditionalFormatting>
  <conditionalFormatting sqref="K19:K21">
    <cfRule type="expression" dxfId="47" priority="386">
      <formula>$B19&lt;&gt;""</formula>
    </cfRule>
  </conditionalFormatting>
  <conditionalFormatting sqref="K99:K100">
    <cfRule type="expression" dxfId="46" priority="80">
      <formula>#REF!&lt;&gt;""</formula>
    </cfRule>
  </conditionalFormatting>
  <conditionalFormatting sqref="L96:L98">
    <cfRule type="expression" dxfId="45" priority="52">
      <formula>#REF!&lt;&gt;""</formula>
    </cfRule>
  </conditionalFormatting>
  <conditionalFormatting sqref="L99:L100">
    <cfRule type="expression" dxfId="44" priority="53">
      <formula>#REF!&lt;&gt;""</formula>
    </cfRule>
  </conditionalFormatting>
  <conditionalFormatting sqref="M97:M100">
    <cfRule type="expression" dxfId="43" priority="83">
      <formula>#REF!&lt;&gt;""</formula>
    </cfRule>
  </conditionalFormatting>
  <conditionalFormatting sqref="N96:N100">
    <cfRule type="expression" dxfId="42" priority="99">
      <formula>#REF!&lt;&gt;""</formula>
    </cfRule>
  </conditionalFormatting>
  <conditionalFormatting sqref="O3:O5">
    <cfRule type="expression" dxfId="41" priority="438">
      <formula>$B3&lt;&gt;""</formula>
    </cfRule>
  </conditionalFormatting>
  <conditionalFormatting sqref="O6:O48">
    <cfRule type="expression" dxfId="40" priority="253">
      <formula>$B6&lt;&gt;""</formula>
    </cfRule>
  </conditionalFormatting>
  <conditionalFormatting sqref="P98:P100">
    <cfRule type="expression" dxfId="39" priority="78">
      <formula>#REF!&lt;&gt;""</formula>
    </cfRule>
  </conditionalFormatting>
  <conditionalFormatting sqref="R3:R5">
    <cfRule type="expression" dxfId="38" priority="439">
      <formula>$B3&lt;&gt;""</formula>
    </cfRule>
  </conditionalFormatting>
  <conditionalFormatting sqref="R6:R48">
    <cfRule type="expression" dxfId="37" priority="252">
      <formula>$B6&lt;&gt;""</formula>
    </cfRule>
  </conditionalFormatting>
  <conditionalFormatting sqref="T26:T27">
    <cfRule type="expression" dxfId="36" priority="331">
      <formula>$B26&lt;&gt;""</formula>
    </cfRule>
  </conditionalFormatting>
  <conditionalFormatting sqref="AA20:AA21">
    <cfRule type="expression" dxfId="35" priority="382">
      <formula>#REF!&lt;&gt;""</formula>
    </cfRule>
  </conditionalFormatting>
  <conditionalFormatting sqref="AA22:AA25">
    <cfRule type="expression" dxfId="34" priority="245">
      <formula>#REF!&lt;&gt;""</formula>
    </cfRule>
  </conditionalFormatting>
  <conditionalFormatting sqref="D3:N3 P3:Q3 S3:V3 X3:Y3">
    <cfRule type="expression" dxfId="33" priority="437">
      <formula>$B3&lt;&gt;""</formula>
    </cfRule>
  </conditionalFormatting>
  <conditionalFormatting sqref="D4 F4">
    <cfRule type="expression" dxfId="32" priority="434">
      <formula>$B4&lt;&gt;""</formula>
    </cfRule>
  </conditionalFormatting>
  <conditionalFormatting sqref="P4:Q4 S4:V4 G4 I4:K4 M4:N4">
    <cfRule type="expression" dxfId="31" priority="436">
      <formula>$B4&lt;&gt;""</formula>
    </cfRule>
  </conditionalFormatting>
  <conditionalFormatting sqref="C9:N9 P9 S9 U9:V9 Z9">
    <cfRule type="expression" dxfId="30" priority="411">
      <formula>$B9&lt;&gt;""</formula>
    </cfRule>
  </conditionalFormatting>
  <conditionalFormatting sqref="D9:N9 U9:V9 Z9">
    <cfRule type="expression" dxfId="29" priority="412">
      <formula>$D9&lt;&gt;""</formula>
    </cfRule>
  </conditionalFormatting>
  <conditionalFormatting sqref="W9:Y9 W19:W20 W25 W30 W33 W35 W42 W46 W44 W48">
    <cfRule type="expression" dxfId="28" priority="409">
      <formula>$B9&lt;&gt;""</formula>
    </cfRule>
  </conditionalFormatting>
  <conditionalFormatting sqref="G13:K13 M13:N13 P13:Q13 S13:V13">
    <cfRule type="expression" dxfId="27" priority="406">
      <formula>$B13&lt;&gt;""</formula>
    </cfRule>
  </conditionalFormatting>
  <conditionalFormatting sqref="E14:N14 P14:Q14 S14:X14">
    <cfRule type="expression" dxfId="26" priority="402">
      <formula>$B14&lt;&gt;""</formula>
    </cfRule>
  </conditionalFormatting>
  <conditionalFormatting sqref="G15:J15 S15:U15 N15 P15 W15:Z15">
    <cfRule type="expression" dxfId="25" priority="270">
      <formula>$B15&lt;&gt;""</formula>
    </cfRule>
  </conditionalFormatting>
  <conditionalFormatting sqref="K15 M15">
    <cfRule type="expression" dxfId="24" priority="269">
      <formula>$B15&lt;&gt;""</formula>
    </cfRule>
  </conditionalFormatting>
  <conditionalFormatting sqref="Q15 V15">
    <cfRule type="expression" dxfId="23" priority="268">
      <formula>$B15&lt;&gt;""</formula>
    </cfRule>
  </conditionalFormatting>
  <conditionalFormatting sqref="G16:J16 S16:U16 N16 P16 W16:Z16">
    <cfRule type="expression" dxfId="22" priority="264">
      <formula>$B16&lt;&gt;""</formula>
    </cfRule>
  </conditionalFormatting>
  <conditionalFormatting sqref="K16 M16">
    <cfRule type="expression" dxfId="21" priority="263">
      <formula>$B16&lt;&gt;""</formula>
    </cfRule>
  </conditionalFormatting>
  <conditionalFormatting sqref="Q16 V16">
    <cfRule type="expression" dxfId="20" priority="262">
      <formula>$B16&lt;&gt;""</formula>
    </cfRule>
  </conditionalFormatting>
  <conditionalFormatting sqref="G17:J17 S17:U17 N17 P17 W17:Z17">
    <cfRule type="expression" dxfId="19" priority="258">
      <formula>$B17&lt;&gt;""</formula>
    </cfRule>
  </conditionalFormatting>
  <conditionalFormatting sqref="K17 M17">
    <cfRule type="expression" dxfId="18" priority="257">
      <formula>$B17&lt;&gt;""</formula>
    </cfRule>
  </conditionalFormatting>
  <conditionalFormatting sqref="Q17 V17">
    <cfRule type="expression" dxfId="17" priority="256">
      <formula>$B17&lt;&gt;""</formula>
    </cfRule>
  </conditionalFormatting>
  <conditionalFormatting sqref="P18 S18:T18 E18">
    <cfRule type="expression" dxfId="16" priority="399">
      <formula>$B18&lt;&gt;""</formula>
    </cfRule>
  </conditionalFormatting>
  <conditionalFormatting sqref="P22 S22:T22 E22">
    <cfRule type="expression" dxfId="15" priority="380">
      <formula>$B22&lt;&gt;""</formula>
    </cfRule>
  </conditionalFormatting>
  <conditionalFormatting sqref="P23 S23:T23 E23">
    <cfRule type="expression" dxfId="14" priority="378">
      <formula>$B23&lt;&gt;""</formula>
    </cfRule>
  </conditionalFormatting>
  <conditionalFormatting sqref="P24 S24:T24 E24">
    <cfRule type="expression" dxfId="13" priority="379">
      <formula>$B24&lt;&gt;""</formula>
    </cfRule>
  </conditionalFormatting>
  <conditionalFormatting sqref="G26:H26 J26:N26 P26:Q26 S26 Z26">
    <cfRule type="expression" dxfId="12" priority="337">
      <formula>$B26&lt;&gt;""</formula>
    </cfRule>
  </conditionalFormatting>
  <conditionalFormatting sqref="I26:I27 W26:Y27 U26:U27">
    <cfRule type="expression" dxfId="11" priority="340">
      <formula>$B26&lt;&gt;""</formula>
    </cfRule>
  </conditionalFormatting>
  <conditionalFormatting sqref="G27:H27 J27:N27 P27:Q27 S27">
    <cfRule type="expression" dxfId="10" priority="334">
      <formula>$B27&lt;&gt;""</formula>
    </cfRule>
  </conditionalFormatting>
  <conditionalFormatting sqref="C28 E28:N28 P28:Q28 S28:Y28">
    <cfRule type="expression" dxfId="9" priority="326">
      <formula>$B28&lt;&gt;""</formula>
    </cfRule>
  </conditionalFormatting>
  <conditionalFormatting sqref="C29:D29 F29:N29 P29:Q29 S29:Z29">
    <cfRule type="expression" dxfId="8" priority="323">
      <formula>$B29&lt;&gt;""</formula>
    </cfRule>
  </conditionalFormatting>
  <conditionalFormatting sqref="B30:B31 B33:B34 B36">
    <cfRule type="expression" dxfId="7" priority="316">
      <formula>$B30&lt;&gt;""</formula>
    </cfRule>
  </conditionalFormatting>
  <conditionalFormatting sqref="C30:D31 F30:N31 P30:Q31 S30:V30 X30:Z30 S31:Z31 C33:D34 F33:N34 P33:Q34 S33:V33 X33:Z33 S34:Z34 C36:D36 F36:N36 P36:Q36 S36:Z36">
    <cfRule type="expression" dxfId="6" priority="319">
      <formula>$B30&lt;&gt;""</formula>
    </cfRule>
  </conditionalFormatting>
  <conditionalFormatting sqref="E30:E31 E33:E34 E36">
    <cfRule type="expression" dxfId="5" priority="317">
      <formula>#REF!&lt;&gt;""</formula>
    </cfRule>
  </conditionalFormatting>
  <conditionalFormatting sqref="AA30:AA31 AA33:AA34 AA36">
    <cfRule type="expression" dxfId="4" priority="318">
      <formula>#REF!&lt;&gt;""</formula>
    </cfRule>
  </conditionalFormatting>
  <conditionalFormatting sqref="G35:N35 P35:Q35 S35:V35 X35:Z35">
    <cfRule type="expression" dxfId="3" priority="312">
      <formula>$B35&lt;&gt;""</formula>
    </cfRule>
  </conditionalFormatting>
  <conditionalFormatting sqref="F37:N37 P37:Q37 S37:Z37">
    <cfRule type="expression" dxfId="2" priority="310">
      <formula>$B37&lt;&gt;""</formula>
    </cfRule>
  </conditionalFormatting>
  <conditionalFormatting sqref="F40:N40 P40:Q40 S40:Z40">
    <cfRule type="expression" dxfId="1" priority="297">
      <formula>$B40&lt;&gt;""</formula>
    </cfRule>
  </conditionalFormatting>
  <conditionalFormatting sqref="E42:N42 P42:Q42 S42:V42 X42:Y42">
    <cfRule type="expression" dxfId="0" priority="292">
      <formula>$B42&lt;&gt;""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MVA (MB+ws）</vt:lpstr>
      <vt:lpstr>MVA (card）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000019</dc:creator>
  <cp:lastModifiedBy>005017-潘有含</cp:lastModifiedBy>
  <dcterms:created xsi:type="dcterms:W3CDTF">2025-11-07T02:34:56Z</dcterms:created>
  <dcterms:modified xsi:type="dcterms:W3CDTF">2025-11-08T09:02:33Z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ED5EFD3DA8084EB5BA6940C008AECAD9_11</vt:lpwstr>
  </property>
  <property fmtid="{D5CDD505-2E9C-101B-9397-08002B2CF9AE}" pid="3" name="KSOProductBuildVer">
    <vt:lpwstr>2052-12.1.0.21915</vt:lpwstr>
  </property>
</Properties>
</file>